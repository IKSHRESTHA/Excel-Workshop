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rish\OneDrive\Desktop\Personal Project\Excel Workshop\BackUp\"/>
    </mc:Choice>
  </mc:AlternateContent>
  <xr:revisionPtr revIDLastSave="0" documentId="13_ncr:1_{F8EF05BE-D010-4DA2-9BEE-2C1C5184A01F}" xr6:coauthVersionLast="47" xr6:coauthVersionMax="47" xr10:uidLastSave="{00000000-0000-0000-0000-000000000000}"/>
  <bookViews>
    <workbookView xWindow="-110" yWindow="-110" windowWidth="19420" windowHeight="10300" xr2:uid="{D7C07F68-7F9D-4A10-88A5-F93CCCF143A5}"/>
  </bookViews>
  <sheets>
    <sheet name="🧾 About This Workbook" sheetId="9" r:id="rId1"/>
    <sheet name="🗂️ TOC" sheetId="1" state="veryHidden" r:id="rId2"/>
    <sheet name="1.1 If" sheetId="3" state="veryHidden" r:id="rId3"/>
    <sheet name="1.2 Sum if" sheetId="4" state="veryHidden" r:id="rId4"/>
    <sheet name="1.3 LookUps" sheetId="5" state="veryHidden" r:id="rId5"/>
    <sheet name="1.4 Date function" sheetId="7" state="veryHidden" r:id="rId6"/>
    <sheet name="1.5 Goal Seek" sheetId="8" state="veryHidden" r:id="rId7"/>
  </sheets>
  <definedNames>
    <definedName name="I">'1.5 Goal Seek'!$M$2</definedName>
    <definedName name="Increment">'1.5 Goal Seek'!$M$5</definedName>
    <definedName name="Principal">'1.5 Goal Seek'!$M$1</definedName>
    <definedName name="Repayment">'1.5 Goal Seek'!$M$4</definedName>
    <definedName name="Term">'1.5 Goal Seek'!$M$3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7" l="1"/>
  <c r="H7" i="7"/>
  <c r="H3" i="7"/>
  <c r="V9" i="8"/>
  <c r="V10" i="8"/>
  <c r="V11" i="8"/>
  <c r="V12" i="8"/>
  <c r="V13" i="8"/>
  <c r="V14" i="8"/>
  <c r="V15" i="8"/>
  <c r="V16" i="8"/>
  <c r="V17" i="8"/>
  <c r="V18" i="8"/>
  <c r="U9" i="8"/>
  <c r="T9" i="8"/>
  <c r="S10" i="8"/>
  <c r="S11" i="8"/>
  <c r="S12" i="8"/>
  <c r="S13" i="8"/>
  <c r="S14" i="8"/>
  <c r="S15" i="8"/>
  <c r="S16" i="8"/>
  <c r="S17" i="8"/>
  <c r="S18" i="8"/>
  <c r="S9" i="8"/>
  <c r="AB7" i="8"/>
  <c r="R10" i="8"/>
  <c r="R11" i="8" s="1"/>
  <c r="R12" i="8" s="1"/>
  <c r="R13" i="8" s="1"/>
  <c r="R14" i="8" s="1"/>
  <c r="R15" i="8" s="1"/>
  <c r="R16" i="8" s="1"/>
  <c r="R17" i="8" s="1"/>
  <c r="R18" i="8" s="1"/>
  <c r="A11" i="8"/>
  <c r="A12" i="8" s="1"/>
  <c r="A13" i="8" s="1"/>
  <c r="A14" i="8" s="1"/>
  <c r="A15" i="8" s="1"/>
  <c r="A16" i="8" s="1"/>
  <c r="A17" i="8" s="1"/>
  <c r="A18" i="8" s="1"/>
  <c r="A19" i="8" s="1"/>
  <c r="A3" i="5"/>
  <c r="B3" i="5" s="1"/>
  <c r="B2" i="5"/>
  <c r="S3" i="4"/>
  <c r="T3" i="4" s="1"/>
  <c r="U3" i="4" s="1"/>
  <c r="V3" i="4" s="1"/>
  <c r="Q5" i="4"/>
  <c r="Q6" i="4" s="1"/>
  <c r="Q7" i="4" s="1"/>
  <c r="Q8" i="4" s="1"/>
  <c r="N8" i="4"/>
  <c r="N4" i="4"/>
  <c r="N9" i="4" s="1"/>
  <c r="B2" i="4"/>
  <c r="A3" i="4"/>
  <c r="A4" i="4" s="1"/>
  <c r="A5" i="4" s="1"/>
  <c r="W9" i="8" l="1"/>
  <c r="T10" i="8" s="1"/>
  <c r="U10" i="8" s="1"/>
  <c r="A4" i="5"/>
  <c r="B4" i="5" s="1"/>
  <c r="B5" i="4"/>
  <c r="A6" i="4"/>
  <c r="B4" i="4"/>
  <c r="B3" i="4"/>
  <c r="N5" i="4"/>
  <c r="W10" i="8" l="1"/>
  <c r="A5" i="5"/>
  <c r="B5" i="5" s="1"/>
  <c r="N6" i="4"/>
  <c r="N10" i="4"/>
  <c r="B6" i="4"/>
  <c r="A7" i="4"/>
  <c r="T11" i="8" l="1"/>
  <c r="U11" i="8" s="1"/>
  <c r="A6" i="5"/>
  <c r="A7" i="5" s="1"/>
  <c r="A8" i="4"/>
  <c r="B7" i="4"/>
  <c r="N11" i="4"/>
  <c r="N7" i="4"/>
  <c r="N12" i="4" s="1"/>
  <c r="W11" i="8" l="1"/>
  <c r="B6" i="5"/>
  <c r="A8" i="5"/>
  <c r="B7" i="5"/>
  <c r="A9" i="4"/>
  <c r="B8" i="4"/>
  <c r="T12" i="8" l="1"/>
  <c r="U12" i="8" s="1"/>
  <c r="A9" i="5"/>
  <c r="B8" i="5"/>
  <c r="A10" i="4"/>
  <c r="B9" i="4"/>
  <c r="W12" i="8" l="1"/>
  <c r="A10" i="5"/>
  <c r="B9" i="5"/>
  <c r="A11" i="4"/>
  <c r="B10" i="4"/>
  <c r="T13" i="8" l="1"/>
  <c r="U13" i="8" s="1"/>
  <c r="B10" i="5"/>
  <c r="A11" i="5"/>
  <c r="B11" i="4"/>
  <c r="A12" i="4"/>
  <c r="W13" i="8" l="1"/>
  <c r="A12" i="5"/>
  <c r="B11" i="5"/>
  <c r="A13" i="4"/>
  <c r="B12" i="4"/>
  <c r="T14" i="8" l="1"/>
  <c r="U14" i="8" s="1"/>
  <c r="A13" i="5"/>
  <c r="B12" i="5"/>
  <c r="B13" i="4"/>
  <c r="A14" i="4"/>
  <c r="W14" i="8" l="1"/>
  <c r="A14" i="5"/>
  <c r="B13" i="5"/>
  <c r="B14" i="4"/>
  <c r="A15" i="4"/>
  <c r="T15" i="8" l="1"/>
  <c r="U15" i="8" s="1"/>
  <c r="A15" i="5"/>
  <c r="B14" i="5"/>
  <c r="B15" i="4"/>
  <c r="A16" i="4"/>
  <c r="W15" i="8" l="1"/>
  <c r="A16" i="5"/>
  <c r="B15" i="5"/>
  <c r="B16" i="4"/>
  <c r="A17" i="4"/>
  <c r="T16" i="8" l="1"/>
  <c r="U16" i="8" s="1"/>
  <c r="B16" i="5"/>
  <c r="A17" i="5"/>
  <c r="A18" i="4"/>
  <c r="B17" i="4"/>
  <c r="W16" i="8" l="1"/>
  <c r="AB8" i="8" s="1"/>
  <c r="A18" i="5"/>
  <c r="B17" i="5"/>
  <c r="A19" i="4"/>
  <c r="B18" i="4"/>
  <c r="T17" i="8" l="1"/>
  <c r="U17" i="8" s="1"/>
  <c r="B18" i="5"/>
  <c r="A19" i="5"/>
  <c r="A20" i="4"/>
  <c r="B19" i="4"/>
  <c r="W17" i="8" l="1"/>
  <c r="B19" i="5"/>
  <c r="A20" i="5"/>
  <c r="A21" i="4"/>
  <c r="B20" i="4"/>
  <c r="T18" i="8" l="1"/>
  <c r="U18" i="8" s="1"/>
  <c r="A21" i="5"/>
  <c r="B20" i="5"/>
  <c r="A22" i="4"/>
  <c r="B21" i="4"/>
  <c r="W18" i="8" l="1"/>
  <c r="A22" i="5"/>
  <c r="B21" i="5"/>
  <c r="A23" i="4"/>
  <c r="B22" i="4"/>
  <c r="B22" i="5" l="1"/>
  <c r="A23" i="5"/>
  <c r="A24" i="4"/>
  <c r="B23" i="4"/>
  <c r="A24" i="5" l="1"/>
  <c r="B23" i="5"/>
  <c r="A25" i="4"/>
  <c r="B24" i="4"/>
  <c r="B24" i="5" l="1"/>
  <c r="A25" i="5"/>
  <c r="A26" i="4"/>
  <c r="B25" i="4"/>
  <c r="A26" i="5" l="1"/>
  <c r="B25" i="5"/>
  <c r="A27" i="4"/>
  <c r="B26" i="4"/>
  <c r="A27" i="5" l="1"/>
  <c r="B26" i="5"/>
  <c r="A28" i="4"/>
  <c r="B27" i="4"/>
  <c r="A28" i="5" l="1"/>
  <c r="B27" i="5"/>
  <c r="A29" i="4"/>
  <c r="B28" i="4"/>
  <c r="A29" i="5" l="1"/>
  <c r="B28" i="5"/>
  <c r="A30" i="4"/>
  <c r="B29" i="4"/>
  <c r="A30" i="5" l="1"/>
  <c r="B29" i="5"/>
  <c r="A31" i="4"/>
  <c r="B30" i="4"/>
  <c r="A31" i="5" l="1"/>
  <c r="B30" i="5"/>
  <c r="A32" i="4"/>
  <c r="B31" i="4"/>
  <c r="A32" i="5" l="1"/>
  <c r="B31" i="5"/>
  <c r="A33" i="4"/>
  <c r="B32" i="4"/>
  <c r="B32" i="5" l="1"/>
  <c r="A33" i="5"/>
  <c r="A34" i="4"/>
  <c r="B33" i="4"/>
  <c r="A34" i="5" l="1"/>
  <c r="B33" i="5"/>
  <c r="A35" i="4"/>
  <c r="B34" i="4"/>
  <c r="B34" i="5" l="1"/>
  <c r="A35" i="5"/>
  <c r="A36" i="4"/>
  <c r="B35" i="4"/>
  <c r="A36" i="5" l="1"/>
  <c r="B35" i="5"/>
  <c r="A37" i="4"/>
  <c r="B36" i="4"/>
  <c r="A37" i="5" l="1"/>
  <c r="B36" i="5"/>
  <c r="A38" i="4"/>
  <c r="B37" i="4"/>
  <c r="A38" i="5" l="1"/>
  <c r="B37" i="5"/>
  <c r="A39" i="4"/>
  <c r="B38" i="4"/>
  <c r="A39" i="5" l="1"/>
  <c r="B38" i="5"/>
  <c r="A40" i="4"/>
  <c r="B39" i="4"/>
  <c r="A40" i="5" l="1"/>
  <c r="B39" i="5"/>
  <c r="A41" i="4"/>
  <c r="B40" i="4"/>
  <c r="B40" i="5" l="1"/>
  <c r="A41" i="5"/>
  <c r="A42" i="4"/>
  <c r="B41" i="4"/>
  <c r="A42" i="5" l="1"/>
  <c r="B41" i="5"/>
  <c r="A43" i="4"/>
  <c r="B42" i="4"/>
  <c r="B42" i="5" l="1"/>
  <c r="A43" i="5"/>
  <c r="A44" i="4"/>
  <c r="B43" i="4"/>
  <c r="B43" i="5" l="1"/>
  <c r="A44" i="5"/>
  <c r="A45" i="4"/>
  <c r="B44" i="4"/>
  <c r="A45" i="5" l="1"/>
  <c r="B44" i="5"/>
  <c r="A46" i="4"/>
  <c r="B45" i="4"/>
  <c r="A46" i="5" l="1"/>
  <c r="B45" i="5"/>
  <c r="A47" i="4"/>
  <c r="B46" i="4"/>
  <c r="B46" i="5" l="1"/>
  <c r="A47" i="5"/>
  <c r="A48" i="4"/>
  <c r="B47" i="4"/>
  <c r="A48" i="5" l="1"/>
  <c r="B47" i="5"/>
  <c r="A49" i="4"/>
  <c r="B48" i="4"/>
  <c r="B48" i="5" l="1"/>
  <c r="A49" i="5"/>
  <c r="A50" i="4"/>
  <c r="B49" i="4"/>
  <c r="A50" i="5" l="1"/>
  <c r="B49" i="5"/>
  <c r="A51" i="4"/>
  <c r="B50" i="4"/>
  <c r="B50" i="5" l="1"/>
  <c r="A51" i="5"/>
  <c r="A52" i="4"/>
  <c r="B51" i="4"/>
  <c r="A52" i="5" l="1"/>
  <c r="B51" i="5"/>
  <c r="A53" i="4"/>
  <c r="B52" i="4"/>
  <c r="A53" i="5" l="1"/>
  <c r="B52" i="5"/>
  <c r="A54" i="4"/>
  <c r="B53" i="4"/>
  <c r="A54" i="5" l="1"/>
  <c r="B53" i="5"/>
  <c r="A55" i="4"/>
  <c r="B54" i="4"/>
  <c r="B54" i="5" l="1"/>
  <c r="A55" i="5"/>
  <c r="A56" i="4"/>
  <c r="B55" i="4"/>
  <c r="A56" i="5" l="1"/>
  <c r="B55" i="5"/>
  <c r="A57" i="4"/>
  <c r="B56" i="4"/>
  <c r="B56" i="5" l="1"/>
  <c r="A57" i="5"/>
  <c r="A58" i="4"/>
  <c r="B57" i="4"/>
  <c r="A58" i="5" l="1"/>
  <c r="B57" i="5"/>
  <c r="A59" i="4"/>
  <c r="B58" i="4"/>
  <c r="B58" i="5" l="1"/>
  <c r="A59" i="5"/>
  <c r="A60" i="4"/>
  <c r="B59" i="4"/>
  <c r="A60" i="5" l="1"/>
  <c r="B59" i="5"/>
  <c r="A61" i="4"/>
  <c r="B60" i="4"/>
  <c r="A61" i="5" l="1"/>
  <c r="B60" i="5"/>
  <c r="A62" i="4"/>
  <c r="B61" i="4"/>
  <c r="A62" i="5" l="1"/>
  <c r="B61" i="5"/>
  <c r="A63" i="4"/>
  <c r="B62" i="4"/>
  <c r="A63" i="5" l="1"/>
  <c r="B62" i="5"/>
  <c r="A64" i="4"/>
  <c r="B63" i="4"/>
  <c r="A64" i="5" l="1"/>
  <c r="B63" i="5"/>
  <c r="A65" i="4"/>
  <c r="B64" i="4"/>
  <c r="B64" i="5" l="1"/>
  <c r="A65" i="5"/>
  <c r="A66" i="4"/>
  <c r="B65" i="4"/>
  <c r="A66" i="5" l="1"/>
  <c r="B65" i="5"/>
  <c r="A67" i="4"/>
  <c r="B66" i="4"/>
  <c r="A67" i="5" l="1"/>
  <c r="B66" i="5"/>
  <c r="A68" i="4"/>
  <c r="B67" i="4"/>
  <c r="A68" i="5" l="1"/>
  <c r="B67" i="5"/>
  <c r="A69" i="4"/>
  <c r="B68" i="4"/>
  <c r="A69" i="5" l="1"/>
  <c r="B68" i="5"/>
  <c r="A70" i="4"/>
  <c r="B69" i="4"/>
  <c r="A70" i="5" l="1"/>
  <c r="B69" i="5"/>
  <c r="A71" i="4"/>
  <c r="B70" i="4"/>
  <c r="B70" i="5" l="1"/>
  <c r="A71" i="5"/>
  <c r="A72" i="4"/>
  <c r="B71" i="4"/>
  <c r="A72" i="5" l="1"/>
  <c r="B71" i="5"/>
  <c r="A73" i="4"/>
  <c r="B72" i="4"/>
  <c r="B72" i="5" l="1"/>
  <c r="A73" i="5"/>
  <c r="A74" i="4"/>
  <c r="B73" i="4"/>
  <c r="B73" i="5" l="1"/>
  <c r="A74" i="5"/>
  <c r="A75" i="4"/>
  <c r="B74" i="4"/>
  <c r="B74" i="5" l="1"/>
  <c r="A75" i="5"/>
  <c r="A76" i="4"/>
  <c r="B75" i="4"/>
  <c r="A76" i="5" l="1"/>
  <c r="B75" i="5"/>
  <c r="A77" i="4"/>
  <c r="B76" i="4"/>
  <c r="A77" i="5" l="1"/>
  <c r="B76" i="5"/>
  <c r="A78" i="4"/>
  <c r="B77" i="4"/>
  <c r="A78" i="5" l="1"/>
  <c r="B77" i="5"/>
  <c r="A79" i="4"/>
  <c r="B78" i="4"/>
  <c r="A79" i="5" l="1"/>
  <c r="B78" i="5"/>
  <c r="A80" i="4"/>
  <c r="B79" i="4"/>
  <c r="A80" i="5" l="1"/>
  <c r="B79" i="5"/>
  <c r="A81" i="4"/>
  <c r="B80" i="4"/>
  <c r="B80" i="5" l="1"/>
  <c r="A81" i="5"/>
  <c r="A82" i="4"/>
  <c r="B81" i="4"/>
  <c r="A82" i="5" l="1"/>
  <c r="B81" i="5"/>
  <c r="A83" i="4"/>
  <c r="B82" i="4"/>
  <c r="B82" i="5" l="1"/>
  <c r="A83" i="5"/>
  <c r="A84" i="4"/>
  <c r="B83" i="4"/>
  <c r="A84" i="5" l="1"/>
  <c r="B83" i="5"/>
  <c r="A85" i="4"/>
  <c r="B84" i="4"/>
  <c r="A85" i="5" l="1"/>
  <c r="B84" i="5"/>
  <c r="A86" i="4"/>
  <c r="B85" i="4"/>
  <c r="A86" i="5" l="1"/>
  <c r="B85" i="5"/>
  <c r="A87" i="4"/>
  <c r="B86" i="4"/>
  <c r="A87" i="5" l="1"/>
  <c r="B86" i="5"/>
  <c r="A88" i="4"/>
  <c r="B87" i="4"/>
  <c r="A88" i="5" l="1"/>
  <c r="B87" i="5"/>
  <c r="A89" i="4"/>
  <c r="B88" i="4"/>
  <c r="B88" i="5" l="1"/>
  <c r="A89" i="5"/>
  <c r="A90" i="4"/>
  <c r="B89" i="4"/>
  <c r="B89" i="5" l="1"/>
  <c r="A90" i="5"/>
  <c r="A91" i="4"/>
  <c r="B90" i="4"/>
  <c r="B90" i="5" l="1"/>
  <c r="A91" i="5"/>
  <c r="A92" i="4"/>
  <c r="B91" i="4"/>
  <c r="A92" i="5" l="1"/>
  <c r="B91" i="5"/>
  <c r="A93" i="4"/>
  <c r="B92" i="4"/>
  <c r="A93" i="5" l="1"/>
  <c r="B92" i="5"/>
  <c r="A94" i="4"/>
  <c r="B93" i="4"/>
  <c r="A94" i="5" l="1"/>
  <c r="B93" i="5"/>
  <c r="A95" i="4"/>
  <c r="B94" i="4"/>
  <c r="B94" i="5" l="1"/>
  <c r="A95" i="5"/>
  <c r="A96" i="4"/>
  <c r="B95" i="4"/>
  <c r="A96" i="5" l="1"/>
  <c r="B95" i="5"/>
  <c r="A97" i="4"/>
  <c r="B96" i="4"/>
  <c r="A97" i="5" l="1"/>
  <c r="B96" i="5"/>
  <c r="A98" i="4"/>
  <c r="B97" i="4"/>
  <c r="A98" i="5" l="1"/>
  <c r="B97" i="5"/>
  <c r="A99" i="4"/>
  <c r="B98" i="4"/>
  <c r="B98" i="5" l="1"/>
  <c r="A99" i="5"/>
  <c r="A100" i="4"/>
  <c r="B99" i="4"/>
  <c r="A100" i="5" l="1"/>
  <c r="B99" i="5"/>
  <c r="A101" i="4"/>
  <c r="B100" i="4"/>
  <c r="A101" i="5" l="1"/>
  <c r="B100" i="5"/>
  <c r="A102" i="4"/>
  <c r="B101" i="4"/>
  <c r="A102" i="5" l="1"/>
  <c r="B101" i="5"/>
  <c r="A103" i="4"/>
  <c r="B102" i="4"/>
  <c r="B102" i="5" l="1"/>
  <c r="A103" i="5"/>
  <c r="A104" i="4"/>
  <c r="B103" i="4"/>
  <c r="A104" i="5" l="1"/>
  <c r="B103" i="5"/>
  <c r="A105" i="4"/>
  <c r="B104" i="4"/>
  <c r="B104" i="5" l="1"/>
  <c r="A105" i="5"/>
  <c r="A106" i="4"/>
  <c r="B105" i="4"/>
  <c r="A106" i="5" l="1"/>
  <c r="B105" i="5"/>
  <c r="A107" i="4"/>
  <c r="B106" i="4"/>
  <c r="A107" i="5" l="1"/>
  <c r="B106" i="5"/>
  <c r="A108" i="4"/>
  <c r="B107" i="4"/>
  <c r="A108" i="5" l="1"/>
  <c r="B107" i="5"/>
  <c r="A109" i="4"/>
  <c r="B108" i="4"/>
  <c r="A109" i="5" l="1"/>
  <c r="B108" i="5"/>
  <c r="A110" i="4"/>
  <c r="B109" i="4"/>
  <c r="A110" i="5" l="1"/>
  <c r="B109" i="5"/>
  <c r="A111" i="4"/>
  <c r="B110" i="4"/>
  <c r="B110" i="5" l="1"/>
  <c r="A111" i="5"/>
  <c r="A112" i="4"/>
  <c r="B111" i="4"/>
  <c r="A112" i="5" l="1"/>
  <c r="B111" i="5"/>
  <c r="A113" i="4"/>
  <c r="B112" i="4"/>
  <c r="B112" i="5" l="1"/>
  <c r="A113" i="5"/>
  <c r="A114" i="4"/>
  <c r="B113" i="4"/>
  <c r="A114" i="5" l="1"/>
  <c r="B113" i="5"/>
  <c r="A115" i="4"/>
  <c r="B114" i="4"/>
  <c r="B114" i="5" l="1"/>
  <c r="A115" i="5"/>
  <c r="A116" i="4"/>
  <c r="B115" i="4"/>
  <c r="A116" i="5" l="1"/>
  <c r="B115" i="5"/>
  <c r="A117" i="4"/>
  <c r="B116" i="4"/>
  <c r="A117" i="5" l="1"/>
  <c r="B116" i="5"/>
  <c r="A118" i="4"/>
  <c r="B117" i="4"/>
  <c r="A118" i="5" l="1"/>
  <c r="B117" i="5"/>
  <c r="A119" i="4"/>
  <c r="B118" i="4"/>
  <c r="A119" i="5" l="1"/>
  <c r="B118" i="5"/>
  <c r="A120" i="4"/>
  <c r="B119" i="4"/>
  <c r="A120" i="5" l="1"/>
  <c r="B119" i="5"/>
  <c r="A121" i="4"/>
  <c r="B120" i="4"/>
  <c r="B120" i="5" l="1"/>
  <c r="A121" i="5"/>
  <c r="A122" i="4"/>
  <c r="B121" i="4"/>
  <c r="B121" i="5" l="1"/>
  <c r="A122" i="5"/>
  <c r="A123" i="4"/>
  <c r="B122" i="4"/>
  <c r="A123" i="5" l="1"/>
  <c r="B122" i="5"/>
  <c r="A124" i="4"/>
  <c r="B123" i="4"/>
  <c r="A124" i="5" l="1"/>
  <c r="B123" i="5"/>
  <c r="A125" i="4"/>
  <c r="B124" i="4"/>
  <c r="A125" i="5" l="1"/>
  <c r="B124" i="5"/>
  <c r="A126" i="4"/>
  <c r="B125" i="4"/>
  <c r="A126" i="5" l="1"/>
  <c r="B125" i="5"/>
  <c r="A127" i="4"/>
  <c r="B126" i="4"/>
  <c r="B126" i="5" l="1"/>
  <c r="A127" i="5"/>
  <c r="A128" i="4"/>
  <c r="B127" i="4"/>
  <c r="A128" i="5" l="1"/>
  <c r="B127" i="5"/>
  <c r="A129" i="4"/>
  <c r="B128" i="4"/>
  <c r="B128" i="5" l="1"/>
  <c r="A129" i="5"/>
  <c r="A130" i="4"/>
  <c r="B129" i="4"/>
  <c r="A130" i="5" l="1"/>
  <c r="B129" i="5"/>
  <c r="A131" i="4"/>
  <c r="B130" i="4"/>
  <c r="A131" i="5" l="1"/>
  <c r="B130" i="5"/>
  <c r="A132" i="4"/>
  <c r="B131" i="4"/>
  <c r="A132" i="5" l="1"/>
  <c r="B131" i="5"/>
  <c r="A133" i="4"/>
  <c r="B132" i="4"/>
  <c r="A133" i="5" l="1"/>
  <c r="B132" i="5"/>
  <c r="A134" i="4"/>
  <c r="B133" i="4"/>
  <c r="A134" i="5" l="1"/>
  <c r="B133" i="5"/>
  <c r="A135" i="4"/>
  <c r="B134" i="4"/>
  <c r="B134" i="5" l="1"/>
  <c r="A135" i="5"/>
  <c r="A136" i="4"/>
  <c r="B135" i="4"/>
  <c r="A136" i="5" l="1"/>
  <c r="B135" i="5"/>
  <c r="A137" i="4"/>
  <c r="B136" i="4"/>
  <c r="B136" i="5" l="1"/>
  <c r="A137" i="5"/>
  <c r="A138" i="4"/>
  <c r="B137" i="4"/>
  <c r="B137" i="5" l="1"/>
  <c r="A138" i="5"/>
  <c r="A139" i="4"/>
  <c r="B138" i="4"/>
  <c r="A139" i="5" l="1"/>
  <c r="B138" i="5"/>
  <c r="A140" i="4"/>
  <c r="B139" i="4"/>
  <c r="A140" i="5" l="1"/>
  <c r="B139" i="5"/>
  <c r="A141" i="4"/>
  <c r="B140" i="4"/>
  <c r="A141" i="5" l="1"/>
  <c r="B140" i="5"/>
  <c r="A142" i="4"/>
  <c r="B141" i="4"/>
  <c r="A142" i="5" l="1"/>
  <c r="B141" i="5"/>
  <c r="A143" i="4"/>
  <c r="B142" i="4"/>
  <c r="A143" i="5" l="1"/>
  <c r="B142" i="5"/>
  <c r="A144" i="4"/>
  <c r="B143" i="4"/>
  <c r="A144" i="5" l="1"/>
  <c r="B143" i="5"/>
  <c r="A145" i="4"/>
  <c r="B144" i="4"/>
  <c r="B144" i="5" l="1"/>
  <c r="A145" i="5"/>
  <c r="A146" i="4"/>
  <c r="B145" i="4"/>
  <c r="A146" i="5" l="1"/>
  <c r="B145" i="5"/>
  <c r="A147" i="4"/>
  <c r="B146" i="4"/>
  <c r="A147" i="5" l="1"/>
  <c r="B146" i="5"/>
  <c r="A148" i="4"/>
  <c r="B147" i="4"/>
  <c r="A148" i="5" l="1"/>
  <c r="B147" i="5"/>
  <c r="A149" i="4"/>
  <c r="B148" i="4"/>
  <c r="A149" i="5" l="1"/>
  <c r="B148" i="5"/>
  <c r="A150" i="4"/>
  <c r="B149" i="4"/>
  <c r="A150" i="5" l="1"/>
  <c r="B149" i="5"/>
  <c r="A151" i="4"/>
  <c r="B150" i="4"/>
  <c r="A151" i="5" l="1"/>
  <c r="B150" i="5"/>
  <c r="A152" i="4"/>
  <c r="B151" i="4"/>
  <c r="A152" i="5" l="1"/>
  <c r="B151" i="5"/>
  <c r="A153" i="4"/>
  <c r="B152" i="4"/>
  <c r="B152" i="5" l="1"/>
  <c r="A153" i="5"/>
  <c r="A154" i="4"/>
  <c r="B153" i="4"/>
  <c r="A154" i="5" l="1"/>
  <c r="B153" i="5"/>
  <c r="A155" i="4"/>
  <c r="B154" i="4"/>
  <c r="A155" i="5" l="1"/>
  <c r="B154" i="5"/>
  <c r="A156" i="4"/>
  <c r="B155" i="4"/>
  <c r="A156" i="5" l="1"/>
  <c r="B155" i="5"/>
  <c r="A157" i="4"/>
  <c r="B156" i="4"/>
  <c r="A157" i="5" l="1"/>
  <c r="B156" i="5"/>
  <c r="A158" i="4"/>
  <c r="B157" i="4"/>
  <c r="A158" i="5" l="1"/>
  <c r="B157" i="5"/>
  <c r="A159" i="4"/>
  <c r="B158" i="4"/>
  <c r="A159" i="5" l="1"/>
  <c r="B158" i="5"/>
  <c r="A160" i="4"/>
  <c r="B159" i="4"/>
  <c r="A160" i="5" l="1"/>
  <c r="B159" i="5"/>
  <c r="A161" i="4"/>
  <c r="B160" i="4"/>
  <c r="B160" i="5" l="1"/>
  <c r="A161" i="5"/>
  <c r="A162" i="4"/>
  <c r="B161" i="4"/>
  <c r="A162" i="5" l="1"/>
  <c r="B161" i="5"/>
  <c r="A163" i="4"/>
  <c r="B162" i="4"/>
  <c r="A163" i="5" l="1"/>
  <c r="B162" i="5"/>
  <c r="A164" i="4"/>
  <c r="B163" i="4"/>
  <c r="A164" i="5" l="1"/>
  <c r="B163" i="5"/>
  <c r="A165" i="4"/>
  <c r="B164" i="4"/>
  <c r="A165" i="5" l="1"/>
  <c r="B164" i="5"/>
  <c r="A166" i="4"/>
  <c r="B165" i="4"/>
  <c r="A166" i="5" l="1"/>
  <c r="B165" i="5"/>
  <c r="A167" i="4"/>
  <c r="B166" i="4"/>
  <c r="B166" i="5" l="1"/>
  <c r="A167" i="5"/>
  <c r="A168" i="4"/>
  <c r="B167" i="4"/>
  <c r="A168" i="5" l="1"/>
  <c r="B167" i="5"/>
  <c r="A169" i="4"/>
  <c r="B168" i="4"/>
  <c r="B168" i="5" l="1"/>
  <c r="A169" i="5"/>
  <c r="A170" i="4"/>
  <c r="B169" i="4"/>
  <c r="B169" i="5" l="1"/>
  <c r="A170" i="5"/>
  <c r="A171" i="4"/>
  <c r="B170" i="4"/>
  <c r="A171" i="5" l="1"/>
  <c r="B170" i="5"/>
  <c r="A172" i="4"/>
  <c r="B171" i="4"/>
  <c r="A172" i="5" l="1"/>
  <c r="B171" i="5"/>
  <c r="A173" i="4"/>
  <c r="B172" i="4"/>
  <c r="A173" i="5" l="1"/>
  <c r="B172" i="5"/>
  <c r="A174" i="4"/>
  <c r="B173" i="4"/>
  <c r="A174" i="5" l="1"/>
  <c r="B173" i="5"/>
  <c r="A175" i="4"/>
  <c r="B174" i="4"/>
  <c r="A175" i="5" l="1"/>
  <c r="B174" i="5"/>
  <c r="A176" i="4"/>
  <c r="B175" i="4"/>
  <c r="A176" i="5" l="1"/>
  <c r="B175" i="5"/>
  <c r="A177" i="4"/>
  <c r="B176" i="4"/>
  <c r="B176" i="5" l="1"/>
  <c r="A177" i="5"/>
  <c r="A178" i="4"/>
  <c r="B177" i="4"/>
  <c r="A178" i="5" l="1"/>
  <c r="B177" i="5"/>
  <c r="A179" i="4"/>
  <c r="B178" i="4"/>
  <c r="A179" i="5" l="1"/>
  <c r="B178" i="5"/>
  <c r="A180" i="4"/>
  <c r="B179" i="4"/>
  <c r="A180" i="5" l="1"/>
  <c r="B179" i="5"/>
  <c r="A181" i="4"/>
  <c r="B180" i="4"/>
  <c r="A181" i="5" l="1"/>
  <c r="B180" i="5"/>
  <c r="A182" i="4"/>
  <c r="B181" i="4"/>
  <c r="A182" i="5" l="1"/>
  <c r="B181" i="5"/>
  <c r="A183" i="4"/>
  <c r="B182" i="4"/>
  <c r="A183" i="5" l="1"/>
  <c r="B182" i="5"/>
  <c r="A184" i="4"/>
  <c r="B183" i="4"/>
  <c r="A184" i="5" l="1"/>
  <c r="B183" i="5"/>
  <c r="A185" i="4"/>
  <c r="B184" i="4"/>
  <c r="B184" i="5" l="1"/>
  <c r="A185" i="5"/>
  <c r="A186" i="4"/>
  <c r="B185" i="4"/>
  <c r="A186" i="5" l="1"/>
  <c r="B185" i="5"/>
  <c r="A187" i="4"/>
  <c r="B186" i="4"/>
  <c r="A187" i="5" l="1"/>
  <c r="B186" i="5"/>
  <c r="A188" i="4"/>
  <c r="B187" i="4"/>
  <c r="A188" i="5" l="1"/>
  <c r="B187" i="5"/>
  <c r="A189" i="4"/>
  <c r="B188" i="4"/>
  <c r="A189" i="5" l="1"/>
  <c r="B188" i="5"/>
  <c r="A190" i="4"/>
  <c r="B189" i="4"/>
  <c r="A190" i="5" l="1"/>
  <c r="B189" i="5"/>
  <c r="A191" i="4"/>
  <c r="B190" i="4"/>
  <c r="A191" i="5" l="1"/>
  <c r="B190" i="5"/>
  <c r="A192" i="4"/>
  <c r="B191" i="4"/>
  <c r="A192" i="5" l="1"/>
  <c r="B191" i="5"/>
  <c r="A193" i="4"/>
  <c r="B192" i="4"/>
  <c r="A193" i="5" l="1"/>
  <c r="B192" i="5"/>
  <c r="A194" i="4"/>
  <c r="B193" i="4"/>
  <c r="B193" i="5" l="1"/>
  <c r="A194" i="5"/>
  <c r="A195" i="4"/>
  <c r="B194" i="4"/>
  <c r="A195" i="5" l="1"/>
  <c r="B194" i="5"/>
  <c r="A196" i="4"/>
  <c r="B195" i="4"/>
  <c r="A196" i="5" l="1"/>
  <c r="B195" i="5"/>
  <c r="A197" i="4"/>
  <c r="B196" i="4"/>
  <c r="A197" i="5" l="1"/>
  <c r="B196" i="5"/>
  <c r="A198" i="4"/>
  <c r="B197" i="4"/>
  <c r="A198" i="5" l="1"/>
  <c r="B197" i="5"/>
  <c r="A199" i="4"/>
  <c r="B198" i="4"/>
  <c r="A199" i="5" l="1"/>
  <c r="B198" i="5"/>
  <c r="A200" i="4"/>
  <c r="B199" i="4"/>
  <c r="A200" i="5" l="1"/>
  <c r="B199" i="5"/>
  <c r="A201" i="4"/>
  <c r="B200" i="4"/>
  <c r="B200" i="5" l="1"/>
  <c r="A201" i="5"/>
  <c r="A202" i="4"/>
  <c r="B201" i="4"/>
  <c r="A202" i="5" l="1"/>
  <c r="B201" i="5"/>
  <c r="A203" i="4"/>
  <c r="B202" i="4"/>
  <c r="A203" i="5" l="1"/>
  <c r="B202" i="5"/>
  <c r="A204" i="4"/>
  <c r="B203" i="4"/>
  <c r="A204" i="5" l="1"/>
  <c r="B203" i="5"/>
  <c r="A205" i="4"/>
  <c r="B204" i="4"/>
  <c r="A205" i="5" l="1"/>
  <c r="B204" i="5"/>
  <c r="A206" i="4"/>
  <c r="B205" i="4"/>
  <c r="A206" i="5" l="1"/>
  <c r="B205" i="5"/>
  <c r="A207" i="4"/>
  <c r="B206" i="4"/>
  <c r="A207" i="5" l="1"/>
  <c r="B206" i="5"/>
  <c r="A208" i="4"/>
  <c r="B207" i="4"/>
  <c r="A208" i="5" l="1"/>
  <c r="B207" i="5"/>
  <c r="A209" i="4"/>
  <c r="B208" i="4"/>
  <c r="B208" i="5" l="1"/>
  <c r="A209" i="5"/>
  <c r="A210" i="4"/>
  <c r="B209" i="4"/>
  <c r="B209" i="5" l="1"/>
  <c r="A210" i="5"/>
  <c r="A211" i="4"/>
  <c r="B210" i="4"/>
  <c r="A211" i="5" l="1"/>
  <c r="B210" i="5"/>
  <c r="A212" i="4"/>
  <c r="B211" i="4"/>
  <c r="A212" i="5" l="1"/>
  <c r="B211" i="5"/>
  <c r="A213" i="4"/>
  <c r="B212" i="4"/>
  <c r="A213" i="5" l="1"/>
  <c r="B212" i="5"/>
  <c r="A214" i="4"/>
  <c r="B213" i="4"/>
  <c r="A214" i="5" l="1"/>
  <c r="B213" i="5"/>
  <c r="A215" i="4"/>
  <c r="B214" i="4"/>
  <c r="B214" i="5" l="1"/>
  <c r="A215" i="5"/>
  <c r="A216" i="4"/>
  <c r="B215" i="4"/>
  <c r="A216" i="5" l="1"/>
  <c r="B215" i="5"/>
  <c r="A217" i="4"/>
  <c r="B216" i="4"/>
  <c r="A217" i="5" l="1"/>
  <c r="B216" i="5"/>
  <c r="A218" i="4"/>
  <c r="B217" i="4"/>
  <c r="B217" i="5" l="1"/>
  <c r="A218" i="5"/>
  <c r="A219" i="4"/>
  <c r="B218" i="4"/>
  <c r="A219" i="5" l="1"/>
  <c r="B218" i="5"/>
  <c r="A220" i="4"/>
  <c r="B219" i="4"/>
  <c r="A220" i="5" l="1"/>
  <c r="B219" i="5"/>
  <c r="A221" i="4"/>
  <c r="B220" i="4"/>
  <c r="A221" i="5" l="1"/>
  <c r="B220" i="5"/>
  <c r="A222" i="4"/>
  <c r="B221" i="4"/>
  <c r="A222" i="5" l="1"/>
  <c r="B221" i="5"/>
  <c r="A223" i="4"/>
  <c r="B222" i="4"/>
  <c r="A223" i="5" l="1"/>
  <c r="B222" i="5"/>
  <c r="A224" i="4"/>
  <c r="B223" i="4"/>
  <c r="A224" i="5" l="1"/>
  <c r="B223" i="5"/>
  <c r="A225" i="4"/>
  <c r="B224" i="4"/>
  <c r="B224" i="5" l="1"/>
  <c r="A225" i="5"/>
  <c r="A226" i="4"/>
  <c r="B225" i="4"/>
  <c r="B225" i="5" l="1"/>
  <c r="A226" i="5"/>
  <c r="A227" i="4"/>
  <c r="B226" i="4"/>
  <c r="A227" i="5" l="1"/>
  <c r="B226" i="5"/>
  <c r="A228" i="4"/>
  <c r="B227" i="4"/>
  <c r="A228" i="5" l="1"/>
  <c r="B227" i="5"/>
  <c r="A229" i="4"/>
  <c r="B228" i="4"/>
  <c r="A229" i="5" l="1"/>
  <c r="B228" i="5"/>
  <c r="A230" i="4"/>
  <c r="B229" i="4"/>
  <c r="A230" i="5" l="1"/>
  <c r="B229" i="5"/>
  <c r="A231" i="4"/>
  <c r="B230" i="4"/>
  <c r="B230" i="5" l="1"/>
  <c r="A231" i="5"/>
  <c r="A232" i="4"/>
  <c r="B231" i="4"/>
  <c r="A232" i="5" l="1"/>
  <c r="B231" i="5"/>
  <c r="A233" i="4"/>
  <c r="B232" i="4"/>
  <c r="B232" i="5" l="1"/>
  <c r="A233" i="5"/>
  <c r="A234" i="4"/>
  <c r="B233" i="4"/>
  <c r="B233" i="5" l="1"/>
  <c r="A234" i="5"/>
  <c r="A235" i="4"/>
  <c r="B234" i="4"/>
  <c r="A235" i="5" l="1"/>
  <c r="B234" i="5"/>
  <c r="A236" i="4"/>
  <c r="B235" i="4"/>
  <c r="A236" i="5" l="1"/>
  <c r="B235" i="5"/>
  <c r="A237" i="4"/>
  <c r="B236" i="4"/>
  <c r="A237" i="5" l="1"/>
  <c r="B236" i="5"/>
  <c r="A238" i="4"/>
  <c r="B237" i="4"/>
  <c r="A238" i="5" l="1"/>
  <c r="B237" i="5"/>
  <c r="A239" i="4"/>
  <c r="B238" i="4"/>
  <c r="B238" i="5" l="1"/>
  <c r="A239" i="5"/>
  <c r="A240" i="4"/>
  <c r="B239" i="4"/>
  <c r="A240" i="5" l="1"/>
  <c r="B239" i="5"/>
  <c r="A241" i="4"/>
  <c r="B240" i="4"/>
  <c r="A241" i="5" l="1"/>
  <c r="B240" i="5"/>
  <c r="A242" i="4"/>
  <c r="B241" i="4"/>
  <c r="B241" i="5" l="1"/>
  <c r="A242" i="5"/>
  <c r="A243" i="4"/>
  <c r="B242" i="4"/>
  <c r="A243" i="5" l="1"/>
  <c r="B242" i="5"/>
  <c r="A244" i="4"/>
  <c r="B243" i="4"/>
  <c r="A244" i="5" l="1"/>
  <c r="B243" i="5"/>
  <c r="A245" i="4"/>
  <c r="B244" i="4"/>
  <c r="A245" i="5" l="1"/>
  <c r="B244" i="5"/>
  <c r="A246" i="4"/>
  <c r="B245" i="4"/>
  <c r="A246" i="5" l="1"/>
  <c r="B245" i="5"/>
  <c r="A247" i="4"/>
  <c r="B246" i="4"/>
  <c r="B246" i="5" l="1"/>
  <c r="A247" i="5"/>
  <c r="A248" i="4"/>
  <c r="B247" i="4"/>
  <c r="A248" i="5" l="1"/>
  <c r="B247" i="5"/>
  <c r="A249" i="4"/>
  <c r="B248" i="4"/>
  <c r="A249" i="5" l="1"/>
  <c r="B248" i="5"/>
  <c r="A250" i="4"/>
  <c r="B249" i="4"/>
  <c r="B249" i="5" l="1"/>
  <c r="A250" i="5"/>
  <c r="A251" i="4"/>
  <c r="B250" i="4"/>
  <c r="A251" i="5" l="1"/>
  <c r="B250" i="5"/>
  <c r="A252" i="4"/>
  <c r="B251" i="4"/>
  <c r="A252" i="5" l="1"/>
  <c r="B251" i="5"/>
  <c r="A253" i="4"/>
  <c r="B252" i="4"/>
  <c r="A253" i="5" l="1"/>
  <c r="B252" i="5"/>
  <c r="A254" i="4"/>
  <c r="B253" i="4"/>
  <c r="A254" i="5" l="1"/>
  <c r="B253" i="5"/>
  <c r="A255" i="4"/>
  <c r="B254" i="4"/>
  <c r="A255" i="5" l="1"/>
  <c r="B254" i="5"/>
  <c r="A256" i="4"/>
  <c r="B255" i="4"/>
  <c r="A256" i="5" l="1"/>
  <c r="B255" i="5"/>
  <c r="A257" i="4"/>
  <c r="B256" i="4"/>
  <c r="A257" i="5" l="1"/>
  <c r="B256" i="5"/>
  <c r="A258" i="4"/>
  <c r="B257" i="4"/>
  <c r="A258" i="5" l="1"/>
  <c r="B257" i="5"/>
  <c r="A259" i="4"/>
  <c r="B258" i="4"/>
  <c r="A259" i="5" l="1"/>
  <c r="B258" i="5"/>
  <c r="A260" i="4"/>
  <c r="B259" i="4"/>
  <c r="A260" i="5" l="1"/>
  <c r="B259" i="5"/>
  <c r="A261" i="4"/>
  <c r="B260" i="4"/>
  <c r="A261" i="5" l="1"/>
  <c r="B260" i="5"/>
  <c r="A262" i="4"/>
  <c r="B261" i="4"/>
  <c r="A262" i="5" l="1"/>
  <c r="B261" i="5"/>
  <c r="A263" i="4"/>
  <c r="B262" i="4"/>
  <c r="B262" i="5" l="1"/>
  <c r="A263" i="5"/>
  <c r="A264" i="4"/>
  <c r="B263" i="4"/>
  <c r="A264" i="5" l="1"/>
  <c r="B263" i="5"/>
  <c r="A265" i="4"/>
  <c r="B264" i="4"/>
  <c r="A265" i="5" l="1"/>
  <c r="B264" i="5"/>
  <c r="A266" i="4"/>
  <c r="B265" i="4"/>
  <c r="B265" i="5" l="1"/>
  <c r="A266" i="5"/>
  <c r="A267" i="4"/>
  <c r="B266" i="4"/>
  <c r="A267" i="5" l="1"/>
  <c r="B266" i="5"/>
  <c r="A268" i="4"/>
  <c r="B267" i="4"/>
  <c r="A268" i="5" l="1"/>
  <c r="B267" i="5"/>
  <c r="A269" i="4"/>
  <c r="B268" i="4"/>
  <c r="A269" i="5" l="1"/>
  <c r="B268" i="5"/>
  <c r="A270" i="4"/>
  <c r="B269" i="4"/>
  <c r="A270" i="5" l="1"/>
  <c r="B269" i="5"/>
  <c r="A271" i="4"/>
  <c r="B270" i="4"/>
  <c r="A271" i="5" l="1"/>
  <c r="B270" i="5"/>
  <c r="A272" i="4"/>
  <c r="B271" i="4"/>
  <c r="A272" i="5" l="1"/>
  <c r="B271" i="5"/>
  <c r="A273" i="4"/>
  <c r="B272" i="4"/>
  <c r="A273" i="5" l="1"/>
  <c r="B272" i="5"/>
  <c r="A274" i="4"/>
  <c r="B273" i="4"/>
  <c r="B273" i="5" l="1"/>
  <c r="A274" i="5"/>
  <c r="A275" i="4"/>
  <c r="B274" i="4"/>
  <c r="A275" i="5" l="1"/>
  <c r="B274" i="5"/>
  <c r="A276" i="4"/>
  <c r="B275" i="4"/>
  <c r="A276" i="5" l="1"/>
  <c r="B275" i="5"/>
  <c r="A277" i="4"/>
  <c r="B276" i="4"/>
  <c r="A277" i="5" l="1"/>
  <c r="B276" i="5"/>
  <c r="A278" i="4"/>
  <c r="B277" i="4"/>
  <c r="A278" i="5" l="1"/>
  <c r="B277" i="5"/>
  <c r="A279" i="4"/>
  <c r="B278" i="4"/>
  <c r="B278" i="5" l="1"/>
  <c r="A279" i="5"/>
  <c r="A280" i="4"/>
  <c r="B279" i="4"/>
  <c r="A280" i="5" l="1"/>
  <c r="B279" i="5"/>
  <c r="A281" i="4"/>
  <c r="B280" i="4"/>
  <c r="A281" i="5" l="1"/>
  <c r="B280" i="5"/>
  <c r="A282" i="4"/>
  <c r="B281" i="4"/>
  <c r="B281" i="5" l="1"/>
  <c r="A282" i="5"/>
  <c r="A283" i="4"/>
  <c r="B282" i="4"/>
  <c r="A283" i="5" l="1"/>
  <c r="B282" i="5"/>
  <c r="A284" i="4"/>
  <c r="B283" i="4"/>
  <c r="A284" i="5" l="1"/>
  <c r="B283" i="5"/>
  <c r="A285" i="4"/>
  <c r="B284" i="4"/>
  <c r="A285" i="5" l="1"/>
  <c r="B284" i="5"/>
  <c r="A286" i="4"/>
  <c r="B285" i="4"/>
  <c r="A286" i="5" l="1"/>
  <c r="B285" i="5"/>
  <c r="A287" i="4"/>
  <c r="B286" i="4"/>
  <c r="B286" i="5" l="1"/>
  <c r="A287" i="5"/>
  <c r="A288" i="4"/>
  <c r="B287" i="4"/>
  <c r="A288" i="5" l="1"/>
  <c r="B287" i="5"/>
  <c r="A289" i="4"/>
  <c r="B288" i="4"/>
  <c r="A289" i="5" l="1"/>
  <c r="B288" i="5"/>
  <c r="A290" i="4"/>
  <c r="B289" i="4"/>
  <c r="B289" i="5" l="1"/>
  <c r="A290" i="5"/>
  <c r="A291" i="4"/>
  <c r="B290" i="4"/>
  <c r="A291" i="5" l="1"/>
  <c r="B290" i="5"/>
  <c r="A292" i="4"/>
  <c r="B291" i="4"/>
  <c r="A292" i="5" l="1"/>
  <c r="B291" i="5"/>
  <c r="A293" i="4"/>
  <c r="B292" i="4"/>
  <c r="A293" i="5" l="1"/>
  <c r="B292" i="5"/>
  <c r="A294" i="4"/>
  <c r="B293" i="4"/>
  <c r="A294" i="5" l="1"/>
  <c r="B293" i="5"/>
  <c r="A295" i="4"/>
  <c r="B294" i="4"/>
  <c r="A295" i="5" l="1"/>
  <c r="B294" i="5"/>
  <c r="A296" i="4"/>
  <c r="B295" i="4"/>
  <c r="A296" i="5" l="1"/>
  <c r="B295" i="5"/>
  <c r="A297" i="4"/>
  <c r="B296" i="4"/>
  <c r="A297" i="5" l="1"/>
  <c r="B296" i="5"/>
  <c r="A298" i="4"/>
  <c r="B297" i="4"/>
  <c r="B297" i="5" l="1"/>
  <c r="A298" i="5"/>
  <c r="A299" i="4"/>
  <c r="B298" i="4"/>
  <c r="A299" i="5" l="1"/>
  <c r="B298" i="5"/>
  <c r="A300" i="4"/>
  <c r="B299" i="4"/>
  <c r="A300" i="5" l="1"/>
  <c r="B299" i="5"/>
  <c r="A301" i="4"/>
  <c r="B300" i="4"/>
  <c r="A301" i="5" l="1"/>
  <c r="B300" i="5"/>
  <c r="A302" i="4"/>
  <c r="B301" i="4"/>
  <c r="A302" i="5" l="1"/>
  <c r="B301" i="5"/>
  <c r="A303" i="4"/>
  <c r="B302" i="4"/>
  <c r="A303" i="5" l="1"/>
  <c r="B302" i="5"/>
  <c r="A304" i="4"/>
  <c r="B303" i="4"/>
  <c r="A304" i="5" l="1"/>
  <c r="B303" i="5"/>
  <c r="A305" i="4"/>
  <c r="B304" i="4"/>
  <c r="A305" i="5" l="1"/>
  <c r="B304" i="5"/>
  <c r="A306" i="4"/>
  <c r="B305" i="4"/>
  <c r="B305" i="5" l="1"/>
  <c r="A306" i="5"/>
  <c r="A307" i="4"/>
  <c r="B306" i="4"/>
  <c r="A307" i="5" l="1"/>
  <c r="B306" i="5"/>
  <c r="A308" i="4"/>
  <c r="B307" i="4"/>
  <c r="A308" i="5" l="1"/>
  <c r="B307" i="5"/>
  <c r="A309" i="4"/>
  <c r="B308" i="4"/>
  <c r="A309" i="5" l="1"/>
  <c r="B308" i="5"/>
  <c r="A310" i="4"/>
  <c r="B309" i="4"/>
  <c r="A310" i="5" l="1"/>
  <c r="B309" i="5"/>
  <c r="A311" i="4"/>
  <c r="B310" i="4"/>
  <c r="A311" i="5" l="1"/>
  <c r="B310" i="5"/>
  <c r="A312" i="4"/>
  <c r="B311" i="4"/>
  <c r="A312" i="5" l="1"/>
  <c r="B311" i="5"/>
  <c r="A313" i="4"/>
  <c r="B312" i="4"/>
  <c r="A313" i="5" l="1"/>
  <c r="B312" i="5"/>
  <c r="A314" i="4"/>
  <c r="B313" i="4"/>
  <c r="B313" i="5" l="1"/>
  <c r="A314" i="5"/>
  <c r="A315" i="4"/>
  <c r="B314" i="4"/>
  <c r="A315" i="5" l="1"/>
  <c r="B314" i="5"/>
  <c r="A316" i="4"/>
  <c r="B315" i="4"/>
  <c r="A316" i="5" l="1"/>
  <c r="B315" i="5"/>
  <c r="A317" i="4"/>
  <c r="B316" i="4"/>
  <c r="A317" i="5" l="1"/>
  <c r="B316" i="5"/>
  <c r="A318" i="4"/>
  <c r="B317" i="4"/>
  <c r="A318" i="5" l="1"/>
  <c r="B317" i="5"/>
  <c r="A319" i="4"/>
  <c r="B318" i="4"/>
  <c r="B318" i="5" l="1"/>
  <c r="A319" i="5"/>
  <c r="A320" i="4"/>
  <c r="B319" i="4"/>
  <c r="A320" i="5" l="1"/>
  <c r="B319" i="5"/>
  <c r="A321" i="4"/>
  <c r="B320" i="4"/>
  <c r="A321" i="5" l="1"/>
  <c r="B320" i="5"/>
  <c r="A322" i="4"/>
  <c r="B321" i="4"/>
  <c r="A322" i="5" l="1"/>
  <c r="B321" i="5"/>
  <c r="A323" i="4"/>
  <c r="B322" i="4"/>
  <c r="A323" i="5" l="1"/>
  <c r="B322" i="5"/>
  <c r="A324" i="4"/>
  <c r="B323" i="4"/>
  <c r="A324" i="5" l="1"/>
  <c r="B323" i="5"/>
  <c r="A325" i="4"/>
  <c r="B324" i="4"/>
  <c r="A325" i="5" l="1"/>
  <c r="B324" i="5"/>
  <c r="A326" i="4"/>
  <c r="B325" i="4"/>
  <c r="A326" i="5" l="1"/>
  <c r="B325" i="5"/>
  <c r="A327" i="4"/>
  <c r="B326" i="4"/>
  <c r="A327" i="5" l="1"/>
  <c r="B326" i="5"/>
  <c r="A328" i="4"/>
  <c r="B327" i="4"/>
  <c r="A328" i="5" l="1"/>
  <c r="B327" i="5"/>
  <c r="A329" i="4"/>
  <c r="B328" i="4"/>
  <c r="A329" i="5" l="1"/>
  <c r="B328" i="5"/>
  <c r="A330" i="4"/>
  <c r="B329" i="4"/>
  <c r="B329" i="5" l="1"/>
  <c r="A330" i="5"/>
  <c r="A331" i="4"/>
  <c r="B330" i="4"/>
  <c r="A331" i="5" l="1"/>
  <c r="B330" i="5"/>
  <c r="A332" i="4"/>
  <c r="B331" i="4"/>
  <c r="A332" i="5" l="1"/>
  <c r="B331" i="5"/>
  <c r="A333" i="4"/>
  <c r="B332" i="4"/>
  <c r="A333" i="5" l="1"/>
  <c r="B332" i="5"/>
  <c r="A334" i="4"/>
  <c r="B333" i="4"/>
  <c r="A334" i="5" l="1"/>
  <c r="B333" i="5"/>
  <c r="A335" i="4"/>
  <c r="B334" i="4"/>
  <c r="A335" i="5" l="1"/>
  <c r="B334" i="5"/>
  <c r="A336" i="4"/>
  <c r="B335" i="4"/>
  <c r="A336" i="5" l="1"/>
  <c r="B335" i="5"/>
  <c r="A337" i="4"/>
  <c r="B336" i="4"/>
  <c r="A337" i="5" l="1"/>
  <c r="B336" i="5"/>
  <c r="A338" i="4"/>
  <c r="B337" i="4"/>
  <c r="B337" i="5" l="1"/>
  <c r="A338" i="5"/>
  <c r="A339" i="4"/>
  <c r="B338" i="4"/>
  <c r="A339" i="5" l="1"/>
  <c r="B338" i="5"/>
  <c r="A340" i="4"/>
  <c r="B339" i="4"/>
  <c r="A340" i="5" l="1"/>
  <c r="B339" i="5"/>
  <c r="A341" i="4"/>
  <c r="B340" i="4"/>
  <c r="A341" i="5" l="1"/>
  <c r="B340" i="5"/>
  <c r="A342" i="4"/>
  <c r="B341" i="4"/>
  <c r="A342" i="5" l="1"/>
  <c r="B341" i="5"/>
  <c r="A343" i="4"/>
  <c r="B342" i="4"/>
  <c r="A343" i="5" l="1"/>
  <c r="B342" i="5"/>
  <c r="A344" i="4"/>
  <c r="B343" i="4"/>
  <c r="A344" i="5" l="1"/>
  <c r="B343" i="5"/>
  <c r="A345" i="4"/>
  <c r="B344" i="4"/>
  <c r="A345" i="5" l="1"/>
  <c r="B344" i="5"/>
  <c r="A346" i="4"/>
  <c r="B345" i="4"/>
  <c r="B345" i="5" l="1"/>
  <c r="A346" i="5"/>
  <c r="A347" i="4"/>
  <c r="B346" i="4"/>
  <c r="A347" i="5" l="1"/>
  <c r="B346" i="5"/>
  <c r="A348" i="4"/>
  <c r="B347" i="4"/>
  <c r="A348" i="5" l="1"/>
  <c r="B347" i="5"/>
  <c r="A349" i="4"/>
  <c r="B348" i="4"/>
  <c r="A349" i="5" l="1"/>
  <c r="B348" i="5"/>
  <c r="A350" i="4"/>
  <c r="B349" i="4"/>
  <c r="A350" i="5" l="1"/>
  <c r="B349" i="5"/>
  <c r="A351" i="4"/>
  <c r="B350" i="4"/>
  <c r="A351" i="5" l="1"/>
  <c r="B350" i="5"/>
  <c r="A352" i="4"/>
  <c r="B351" i="4"/>
  <c r="A352" i="5" l="1"/>
  <c r="B351" i="5"/>
  <c r="A353" i="4"/>
  <c r="B352" i="4"/>
  <c r="A353" i="5" l="1"/>
  <c r="B352" i="5"/>
  <c r="A354" i="4"/>
  <c r="B353" i="4"/>
  <c r="B353" i="5" l="1"/>
  <c r="A354" i="5"/>
  <c r="A355" i="4"/>
  <c r="B354" i="4"/>
  <c r="A355" i="5" l="1"/>
  <c r="B354" i="5"/>
  <c r="A356" i="4"/>
  <c r="B355" i="4"/>
  <c r="A356" i="5" l="1"/>
  <c r="B355" i="5"/>
  <c r="A357" i="4"/>
  <c r="B356" i="4"/>
  <c r="A357" i="5" l="1"/>
  <c r="B356" i="5"/>
  <c r="A358" i="4"/>
  <c r="B357" i="4"/>
  <c r="A358" i="5" l="1"/>
  <c r="B357" i="5"/>
  <c r="A359" i="4"/>
  <c r="B358" i="4"/>
  <c r="A359" i="5" l="1"/>
  <c r="B358" i="5"/>
  <c r="A360" i="4"/>
  <c r="B359" i="4"/>
  <c r="A360" i="5" l="1"/>
  <c r="B359" i="5"/>
  <c r="A361" i="4"/>
  <c r="B360" i="4"/>
  <c r="A361" i="5" l="1"/>
  <c r="B360" i="5"/>
  <c r="A362" i="4"/>
  <c r="B361" i="4"/>
  <c r="B361" i="5" l="1"/>
  <c r="A362" i="5"/>
  <c r="A363" i="4"/>
  <c r="B362" i="4"/>
  <c r="A363" i="5" l="1"/>
  <c r="B362" i="5"/>
  <c r="A364" i="4"/>
  <c r="B363" i="4"/>
  <c r="A364" i="5" l="1"/>
  <c r="B363" i="5"/>
  <c r="A365" i="4"/>
  <c r="B364" i="4"/>
  <c r="A365" i="5" l="1"/>
  <c r="B364" i="5"/>
  <c r="A366" i="4"/>
  <c r="B365" i="4"/>
  <c r="A366" i="5" l="1"/>
  <c r="B365" i="5"/>
  <c r="A367" i="4"/>
  <c r="B366" i="4"/>
  <c r="A367" i="5" l="1"/>
  <c r="B366" i="5"/>
  <c r="A368" i="4"/>
  <c r="B367" i="4"/>
  <c r="A368" i="5" l="1"/>
  <c r="B367" i="5"/>
  <c r="A369" i="4"/>
  <c r="B368" i="4"/>
  <c r="A369" i="5" l="1"/>
  <c r="B368" i="5"/>
  <c r="A370" i="4"/>
  <c r="B369" i="4"/>
  <c r="B369" i="5" l="1"/>
  <c r="A370" i="5"/>
  <c r="A371" i="4"/>
  <c r="B370" i="4"/>
  <c r="A371" i="5" l="1"/>
  <c r="B370" i="5"/>
  <c r="A372" i="4"/>
  <c r="B371" i="4"/>
  <c r="A372" i="5" l="1"/>
  <c r="B371" i="5"/>
  <c r="A373" i="4"/>
  <c r="B372" i="4"/>
  <c r="A373" i="5" l="1"/>
  <c r="B372" i="5"/>
  <c r="A374" i="4"/>
  <c r="B373" i="4"/>
  <c r="A374" i="5" l="1"/>
  <c r="B373" i="5"/>
  <c r="A375" i="4"/>
  <c r="B374" i="4"/>
  <c r="A375" i="5" l="1"/>
  <c r="B374" i="5"/>
  <c r="A376" i="4"/>
  <c r="B375" i="4"/>
  <c r="A376" i="5" l="1"/>
  <c r="B375" i="5"/>
  <c r="A377" i="4"/>
  <c r="B376" i="4"/>
  <c r="A377" i="5" l="1"/>
  <c r="B376" i="5"/>
  <c r="A378" i="4"/>
  <c r="B377" i="4"/>
  <c r="B377" i="5" l="1"/>
  <c r="A378" i="5"/>
  <c r="A379" i="4"/>
  <c r="B378" i="4"/>
  <c r="A379" i="5" l="1"/>
  <c r="B378" i="5"/>
  <c r="A380" i="4"/>
  <c r="B379" i="4"/>
  <c r="A380" i="5" l="1"/>
  <c r="B379" i="5"/>
  <c r="A381" i="4"/>
  <c r="B380" i="4"/>
  <c r="A381" i="5" l="1"/>
  <c r="B380" i="5"/>
  <c r="A382" i="4"/>
  <c r="B381" i="4"/>
  <c r="A382" i="5" l="1"/>
  <c r="B381" i="5"/>
  <c r="A383" i="4"/>
  <c r="B382" i="4"/>
  <c r="A383" i="5" l="1"/>
  <c r="B382" i="5"/>
  <c r="A384" i="4"/>
  <c r="B383" i="4"/>
  <c r="A384" i="5" l="1"/>
  <c r="B383" i="5"/>
  <c r="A385" i="4"/>
  <c r="B384" i="4"/>
  <c r="A385" i="5" l="1"/>
  <c r="B384" i="5"/>
  <c r="A386" i="4"/>
  <c r="B385" i="4"/>
  <c r="B385" i="5" l="1"/>
  <c r="A386" i="5"/>
  <c r="A387" i="4"/>
  <c r="B386" i="4"/>
  <c r="A387" i="5" l="1"/>
  <c r="B386" i="5"/>
  <c r="A388" i="4"/>
  <c r="B387" i="4"/>
  <c r="A388" i="5" l="1"/>
  <c r="B387" i="5"/>
  <c r="A389" i="4"/>
  <c r="B388" i="4"/>
  <c r="A389" i="5" l="1"/>
  <c r="B388" i="5"/>
  <c r="A390" i="4"/>
  <c r="B389" i="4"/>
  <c r="A390" i="5" l="1"/>
  <c r="B389" i="5"/>
  <c r="A391" i="4"/>
  <c r="B390" i="4"/>
  <c r="A391" i="5" l="1"/>
  <c r="B390" i="5"/>
  <c r="A392" i="4"/>
  <c r="B391" i="4"/>
  <c r="A392" i="5" l="1"/>
  <c r="B391" i="5"/>
  <c r="A393" i="4"/>
  <c r="B392" i="4"/>
  <c r="A393" i="5" l="1"/>
  <c r="B392" i="5"/>
  <c r="A394" i="4"/>
  <c r="B393" i="4"/>
  <c r="B393" i="5" l="1"/>
  <c r="A394" i="5"/>
  <c r="A395" i="4"/>
  <c r="B394" i="4"/>
  <c r="A395" i="5" l="1"/>
  <c r="B394" i="5"/>
  <c r="A396" i="4"/>
  <c r="B395" i="4"/>
  <c r="A396" i="5" l="1"/>
  <c r="B395" i="5"/>
  <c r="A397" i="4"/>
  <c r="B396" i="4"/>
  <c r="A397" i="5" l="1"/>
  <c r="B396" i="5"/>
  <c r="A398" i="4"/>
  <c r="B397" i="4"/>
  <c r="A398" i="5" l="1"/>
  <c r="B397" i="5"/>
  <c r="A399" i="4"/>
  <c r="B398" i="4"/>
  <c r="A399" i="5" l="1"/>
  <c r="B398" i="5"/>
  <c r="A400" i="4"/>
  <c r="B399" i="4"/>
  <c r="A400" i="5" l="1"/>
  <c r="B399" i="5"/>
  <c r="A401" i="4"/>
  <c r="B400" i="4"/>
  <c r="A401" i="5" l="1"/>
  <c r="B400" i="5"/>
  <c r="A402" i="4"/>
  <c r="B401" i="4"/>
  <c r="B401" i="5" l="1"/>
  <c r="A402" i="5"/>
  <c r="A403" i="4"/>
  <c r="B402" i="4"/>
  <c r="A403" i="5" l="1"/>
  <c r="B402" i="5"/>
  <c r="A404" i="4"/>
  <c r="B403" i="4"/>
  <c r="A404" i="5" l="1"/>
  <c r="B403" i="5"/>
  <c r="A405" i="4"/>
  <c r="B404" i="4"/>
  <c r="A405" i="5" l="1"/>
  <c r="B404" i="5"/>
  <c r="A406" i="4"/>
  <c r="B405" i="4"/>
  <c r="A406" i="5" l="1"/>
  <c r="B405" i="5"/>
  <c r="A407" i="4"/>
  <c r="B406" i="4"/>
  <c r="A407" i="5" l="1"/>
  <c r="B406" i="5"/>
  <c r="A408" i="4"/>
  <c r="B407" i="4"/>
  <c r="A408" i="5" l="1"/>
  <c r="B407" i="5"/>
  <c r="A409" i="4"/>
  <c r="B408" i="4"/>
  <c r="A409" i="5" l="1"/>
  <c r="B408" i="5"/>
  <c r="A410" i="4"/>
  <c r="B409" i="4"/>
  <c r="B409" i="5" l="1"/>
  <c r="A410" i="5"/>
  <c r="A411" i="4"/>
  <c r="B410" i="4"/>
  <c r="A411" i="5" l="1"/>
  <c r="B410" i="5"/>
  <c r="A412" i="4"/>
  <c r="B411" i="4"/>
  <c r="A412" i="5" l="1"/>
  <c r="B411" i="5"/>
  <c r="A413" i="4"/>
  <c r="B412" i="4"/>
  <c r="A413" i="5" l="1"/>
  <c r="B412" i="5"/>
  <c r="A414" i="4"/>
  <c r="B413" i="4"/>
  <c r="A414" i="5" l="1"/>
  <c r="B413" i="5"/>
  <c r="A415" i="4"/>
  <c r="B414" i="4"/>
  <c r="A415" i="5" l="1"/>
  <c r="B414" i="5"/>
  <c r="A416" i="4"/>
  <c r="B415" i="4"/>
  <c r="A416" i="5" l="1"/>
  <c r="B415" i="5"/>
  <c r="A417" i="4"/>
  <c r="B416" i="4"/>
  <c r="A417" i="5" l="1"/>
  <c r="B416" i="5"/>
  <c r="A418" i="4"/>
  <c r="B417" i="4"/>
  <c r="B417" i="5" l="1"/>
  <c r="A418" i="5"/>
  <c r="A419" i="4"/>
  <c r="B418" i="4"/>
  <c r="A419" i="5" l="1"/>
  <c r="B418" i="5"/>
  <c r="A420" i="4"/>
  <c r="B419" i="4"/>
  <c r="A420" i="5" l="1"/>
  <c r="B419" i="5"/>
  <c r="A421" i="4"/>
  <c r="B420" i="4"/>
  <c r="A421" i="5" l="1"/>
  <c r="B420" i="5"/>
  <c r="A422" i="4"/>
  <c r="B421" i="4"/>
  <c r="A422" i="5" l="1"/>
  <c r="B421" i="5"/>
  <c r="A423" i="4"/>
  <c r="B422" i="4"/>
  <c r="A423" i="5" l="1"/>
  <c r="B422" i="5"/>
  <c r="A424" i="4"/>
  <c r="B423" i="4"/>
  <c r="A424" i="5" l="1"/>
  <c r="B423" i="5"/>
  <c r="A425" i="4"/>
  <c r="B424" i="4"/>
  <c r="A425" i="5" l="1"/>
  <c r="B424" i="5"/>
  <c r="A426" i="4"/>
  <c r="B425" i="4"/>
  <c r="B425" i="5" l="1"/>
  <c r="A426" i="5"/>
  <c r="A427" i="4"/>
  <c r="B426" i="4"/>
  <c r="A427" i="5" l="1"/>
  <c r="B426" i="5"/>
  <c r="A428" i="4"/>
  <c r="B427" i="4"/>
  <c r="A428" i="5" l="1"/>
  <c r="B427" i="5"/>
  <c r="A429" i="4"/>
  <c r="B428" i="4"/>
  <c r="A429" i="5" l="1"/>
  <c r="B428" i="5"/>
  <c r="A430" i="4"/>
  <c r="B429" i="4"/>
  <c r="A430" i="5" l="1"/>
  <c r="B429" i="5"/>
  <c r="A431" i="4"/>
  <c r="B430" i="4"/>
  <c r="A431" i="5" l="1"/>
  <c r="B430" i="5"/>
  <c r="A432" i="4"/>
  <c r="B431" i="4"/>
  <c r="A432" i="5" l="1"/>
  <c r="B431" i="5"/>
  <c r="A433" i="4"/>
  <c r="B432" i="4"/>
  <c r="A433" i="5" l="1"/>
  <c r="B432" i="5"/>
  <c r="A434" i="4"/>
  <c r="B433" i="4"/>
  <c r="B433" i="5" l="1"/>
  <c r="A434" i="5"/>
  <c r="A435" i="4"/>
  <c r="B434" i="4"/>
  <c r="A435" i="5" l="1"/>
  <c r="B434" i="5"/>
  <c r="A436" i="4"/>
  <c r="B435" i="4"/>
  <c r="A436" i="5" l="1"/>
  <c r="B435" i="5"/>
  <c r="A437" i="4"/>
  <c r="B436" i="4"/>
  <c r="A437" i="5" l="1"/>
  <c r="B436" i="5"/>
  <c r="A438" i="4"/>
  <c r="B437" i="4"/>
  <c r="A438" i="5" l="1"/>
  <c r="B437" i="5"/>
  <c r="A439" i="4"/>
  <c r="B438" i="4"/>
  <c r="A439" i="5" l="1"/>
  <c r="B438" i="5"/>
  <c r="A440" i="4"/>
  <c r="B439" i="4"/>
  <c r="A440" i="5" l="1"/>
  <c r="B439" i="5"/>
  <c r="A441" i="4"/>
  <c r="B440" i="4"/>
  <c r="A441" i="5" l="1"/>
  <c r="B440" i="5"/>
  <c r="A442" i="4"/>
  <c r="B441" i="4"/>
  <c r="B441" i="5" l="1"/>
  <c r="A442" i="5"/>
  <c r="A443" i="4"/>
  <c r="B442" i="4"/>
  <c r="A443" i="5" l="1"/>
  <c r="B442" i="5"/>
  <c r="A444" i="4"/>
  <c r="B443" i="4"/>
  <c r="A444" i="5" l="1"/>
  <c r="B443" i="5"/>
  <c r="A445" i="4"/>
  <c r="B444" i="4"/>
  <c r="A445" i="5" l="1"/>
  <c r="B444" i="5"/>
  <c r="A446" i="4"/>
  <c r="B445" i="4"/>
  <c r="A446" i="5" l="1"/>
  <c r="B445" i="5"/>
  <c r="A447" i="4"/>
  <c r="B446" i="4"/>
  <c r="A447" i="5" l="1"/>
  <c r="B446" i="5"/>
  <c r="A448" i="4"/>
  <c r="B447" i="4"/>
  <c r="A448" i="5" l="1"/>
  <c r="B447" i="5"/>
  <c r="A449" i="4"/>
  <c r="B448" i="4"/>
  <c r="A449" i="5" l="1"/>
  <c r="B448" i="5"/>
  <c r="A450" i="4"/>
  <c r="B449" i="4"/>
  <c r="B449" i="5" l="1"/>
  <c r="A450" i="5"/>
  <c r="A451" i="4"/>
  <c r="B450" i="4"/>
  <c r="A451" i="5" l="1"/>
  <c r="B450" i="5"/>
  <c r="A452" i="4"/>
  <c r="B451" i="4"/>
  <c r="A452" i="5" l="1"/>
  <c r="B451" i="5"/>
  <c r="A453" i="4"/>
  <c r="B452" i="4"/>
  <c r="A453" i="5" l="1"/>
  <c r="B452" i="5"/>
  <c r="A454" i="4"/>
  <c r="B453" i="4"/>
  <c r="A454" i="5" l="1"/>
  <c r="B453" i="5"/>
  <c r="A455" i="4"/>
  <c r="B454" i="4"/>
  <c r="A455" i="5" l="1"/>
  <c r="B454" i="5"/>
  <c r="A456" i="4"/>
  <c r="B455" i="4"/>
  <c r="A456" i="5" l="1"/>
  <c r="B455" i="5"/>
  <c r="A457" i="4"/>
  <c r="B456" i="4"/>
  <c r="A457" i="5" l="1"/>
  <c r="B456" i="5"/>
  <c r="A458" i="4"/>
  <c r="B457" i="4"/>
  <c r="B457" i="5" l="1"/>
  <c r="A458" i="5"/>
  <c r="A459" i="4"/>
  <c r="B458" i="4"/>
  <c r="A459" i="5" l="1"/>
  <c r="B458" i="5"/>
  <c r="A460" i="4"/>
  <c r="B459" i="4"/>
  <c r="A460" i="5" l="1"/>
  <c r="B459" i="5"/>
  <c r="A461" i="4"/>
  <c r="B460" i="4"/>
  <c r="A461" i="5" l="1"/>
  <c r="B460" i="5"/>
  <c r="A462" i="4"/>
  <c r="B461" i="4"/>
  <c r="A462" i="5" l="1"/>
  <c r="B461" i="5"/>
  <c r="A463" i="4"/>
  <c r="B462" i="4"/>
  <c r="A463" i="5" l="1"/>
  <c r="B462" i="5"/>
  <c r="A464" i="4"/>
  <c r="B463" i="4"/>
  <c r="A464" i="5" l="1"/>
  <c r="B463" i="5"/>
  <c r="A465" i="4"/>
  <c r="B464" i="4"/>
  <c r="A465" i="5" l="1"/>
  <c r="B464" i="5"/>
  <c r="A466" i="4"/>
  <c r="B465" i="4"/>
  <c r="B465" i="5" l="1"/>
  <c r="A466" i="5"/>
  <c r="A467" i="4"/>
  <c r="B466" i="4"/>
  <c r="A467" i="5" l="1"/>
  <c r="B466" i="5"/>
  <c r="A468" i="4"/>
  <c r="B467" i="4"/>
  <c r="A468" i="5" l="1"/>
  <c r="B467" i="5"/>
  <c r="A469" i="4"/>
  <c r="B468" i="4"/>
  <c r="A469" i="5" l="1"/>
  <c r="B468" i="5"/>
  <c r="A470" i="4"/>
  <c r="B469" i="4"/>
  <c r="A470" i="5" l="1"/>
  <c r="B469" i="5"/>
  <c r="A471" i="4"/>
  <c r="B470" i="4"/>
  <c r="A471" i="5" l="1"/>
  <c r="B470" i="5"/>
  <c r="A472" i="4"/>
  <c r="B471" i="4"/>
  <c r="A472" i="5" l="1"/>
  <c r="B471" i="5"/>
  <c r="A473" i="4"/>
  <c r="B472" i="4"/>
  <c r="A473" i="5" l="1"/>
  <c r="B472" i="5"/>
  <c r="A474" i="4"/>
  <c r="B473" i="4"/>
  <c r="B473" i="5" l="1"/>
  <c r="A474" i="5"/>
  <c r="A475" i="4"/>
  <c r="B474" i="4"/>
  <c r="A475" i="5" l="1"/>
  <c r="B474" i="5"/>
  <c r="A476" i="4"/>
  <c r="B475" i="4"/>
  <c r="A476" i="5" l="1"/>
  <c r="B475" i="5"/>
  <c r="A477" i="4"/>
  <c r="B476" i="4"/>
  <c r="A477" i="5" l="1"/>
  <c r="B476" i="5"/>
  <c r="A478" i="4"/>
  <c r="B477" i="4"/>
  <c r="A478" i="5" l="1"/>
  <c r="B477" i="5"/>
  <c r="A479" i="4"/>
  <c r="B478" i="4"/>
  <c r="A479" i="5" l="1"/>
  <c r="B478" i="5"/>
  <c r="A480" i="4"/>
  <c r="B479" i="4"/>
  <c r="A480" i="5" l="1"/>
  <c r="B479" i="5"/>
  <c r="A481" i="4"/>
  <c r="B480" i="4"/>
  <c r="A481" i="5" l="1"/>
  <c r="B480" i="5"/>
  <c r="A482" i="4"/>
  <c r="B481" i="4"/>
  <c r="B481" i="5" l="1"/>
  <c r="A482" i="5"/>
  <c r="A483" i="4"/>
  <c r="B482" i="4"/>
  <c r="A483" i="5" l="1"/>
  <c r="B482" i="5"/>
  <c r="A484" i="4"/>
  <c r="B483" i="4"/>
  <c r="A484" i="5" l="1"/>
  <c r="B483" i="5"/>
  <c r="A485" i="4"/>
  <c r="B484" i="4"/>
  <c r="A485" i="5" l="1"/>
  <c r="B484" i="5"/>
  <c r="A486" i="4"/>
  <c r="B485" i="4"/>
  <c r="A486" i="5" l="1"/>
  <c r="B485" i="5"/>
  <c r="A487" i="4"/>
  <c r="B486" i="4"/>
  <c r="A487" i="5" l="1"/>
  <c r="B486" i="5"/>
  <c r="A488" i="4"/>
  <c r="B487" i="4"/>
  <c r="A488" i="5" l="1"/>
  <c r="B487" i="5"/>
  <c r="A489" i="4"/>
  <c r="B488" i="4"/>
  <c r="A489" i="5" l="1"/>
  <c r="B488" i="5"/>
  <c r="A490" i="4"/>
  <c r="B489" i="4"/>
  <c r="B489" i="5" l="1"/>
  <c r="A490" i="5"/>
  <c r="A491" i="4"/>
  <c r="B490" i="4"/>
  <c r="A491" i="5" l="1"/>
  <c r="B490" i="5"/>
  <c r="A492" i="4"/>
  <c r="B491" i="4"/>
  <c r="A492" i="5" l="1"/>
  <c r="B491" i="5"/>
  <c r="A493" i="4"/>
  <c r="B492" i="4"/>
  <c r="A493" i="5" l="1"/>
  <c r="B492" i="5"/>
  <c r="A494" i="4"/>
  <c r="B493" i="4"/>
  <c r="A494" i="5" l="1"/>
  <c r="B493" i="5"/>
  <c r="A495" i="4"/>
  <c r="B494" i="4"/>
  <c r="A495" i="5" l="1"/>
  <c r="B494" i="5"/>
  <c r="A496" i="4"/>
  <c r="B495" i="4"/>
  <c r="A496" i="5" l="1"/>
  <c r="B495" i="5"/>
  <c r="A497" i="4"/>
  <c r="B496" i="4"/>
  <c r="A497" i="5" l="1"/>
  <c r="B496" i="5"/>
  <c r="A498" i="4"/>
  <c r="B497" i="4"/>
  <c r="B497" i="5" l="1"/>
  <c r="A498" i="5"/>
  <c r="A499" i="4"/>
  <c r="B498" i="4"/>
  <c r="A499" i="5" l="1"/>
  <c r="B498" i="5"/>
  <c r="A500" i="4"/>
  <c r="B499" i="4"/>
  <c r="A500" i="5" l="1"/>
  <c r="B499" i="5"/>
  <c r="A501" i="4"/>
  <c r="B500" i="4"/>
  <c r="A501" i="5" l="1"/>
  <c r="B500" i="5"/>
  <c r="A502" i="4"/>
  <c r="B501" i="4"/>
  <c r="A502" i="5" l="1"/>
  <c r="B501" i="5"/>
  <c r="A503" i="4"/>
  <c r="B502" i="4"/>
  <c r="A503" i="5" l="1"/>
  <c r="B502" i="5"/>
  <c r="A504" i="4"/>
  <c r="B503" i="4"/>
  <c r="A504" i="5" l="1"/>
  <c r="B503" i="5"/>
  <c r="A505" i="4"/>
  <c r="B504" i="4"/>
  <c r="A505" i="5" l="1"/>
  <c r="B504" i="5"/>
  <c r="A506" i="4"/>
  <c r="B505" i="4"/>
  <c r="B505" i="5" l="1"/>
  <c r="A506" i="5"/>
  <c r="A507" i="4"/>
  <c r="B506" i="4"/>
  <c r="A507" i="5" l="1"/>
  <c r="B506" i="5"/>
  <c r="A508" i="4"/>
  <c r="B507" i="4"/>
  <c r="A508" i="5" l="1"/>
  <c r="B507" i="5"/>
  <c r="A509" i="4"/>
  <c r="B508" i="4"/>
  <c r="A509" i="5" l="1"/>
  <c r="B508" i="5"/>
  <c r="A510" i="4"/>
  <c r="B509" i="4"/>
  <c r="A510" i="5" l="1"/>
  <c r="B509" i="5"/>
  <c r="A511" i="4"/>
  <c r="B510" i="4"/>
  <c r="A511" i="5" l="1"/>
  <c r="B510" i="5"/>
  <c r="A512" i="4"/>
  <c r="B511" i="4"/>
  <c r="A512" i="5" l="1"/>
  <c r="B511" i="5"/>
  <c r="A513" i="4"/>
  <c r="B512" i="4"/>
  <c r="A513" i="5" l="1"/>
  <c r="B512" i="5"/>
  <c r="A514" i="4"/>
  <c r="B513" i="4"/>
  <c r="B513" i="5" l="1"/>
  <c r="A514" i="5"/>
  <c r="A515" i="4"/>
  <c r="B514" i="4"/>
  <c r="A515" i="5" l="1"/>
  <c r="B514" i="5"/>
  <c r="A516" i="4"/>
  <c r="B515" i="4"/>
  <c r="A516" i="5" l="1"/>
  <c r="B515" i="5"/>
  <c r="A517" i="4"/>
  <c r="B516" i="4"/>
  <c r="A517" i="5" l="1"/>
  <c r="B516" i="5"/>
  <c r="A518" i="4"/>
  <c r="B517" i="4"/>
  <c r="A518" i="5" l="1"/>
  <c r="B517" i="5"/>
  <c r="A519" i="4"/>
  <c r="B518" i="4"/>
  <c r="A519" i="5" l="1"/>
  <c r="B518" i="5"/>
  <c r="A520" i="4"/>
  <c r="B519" i="4"/>
  <c r="A520" i="5" l="1"/>
  <c r="B519" i="5"/>
  <c r="A521" i="4"/>
  <c r="B520" i="4"/>
  <c r="A521" i="5" l="1"/>
  <c r="B520" i="5"/>
  <c r="A522" i="4"/>
  <c r="B521" i="4"/>
  <c r="B521" i="5" l="1"/>
  <c r="A522" i="5"/>
  <c r="A523" i="4"/>
  <c r="B522" i="4"/>
  <c r="A523" i="5" l="1"/>
  <c r="B522" i="5"/>
  <c r="A524" i="4"/>
  <c r="B523" i="4"/>
  <c r="A524" i="5" l="1"/>
  <c r="B523" i="5"/>
  <c r="A525" i="4"/>
  <c r="B524" i="4"/>
  <c r="A525" i="5" l="1"/>
  <c r="B524" i="5"/>
  <c r="A526" i="4"/>
  <c r="B525" i="4"/>
  <c r="A526" i="5" l="1"/>
  <c r="B525" i="5"/>
  <c r="A527" i="4"/>
  <c r="B526" i="4"/>
  <c r="A527" i="5" l="1"/>
  <c r="B526" i="5"/>
  <c r="A528" i="4"/>
  <c r="B527" i="4"/>
  <c r="A528" i="5" l="1"/>
  <c r="B527" i="5"/>
  <c r="A529" i="4"/>
  <c r="B528" i="4"/>
  <c r="A529" i="5" l="1"/>
  <c r="B528" i="5"/>
  <c r="A530" i="4"/>
  <c r="B529" i="4"/>
  <c r="B529" i="5" l="1"/>
  <c r="A530" i="5"/>
  <c r="A531" i="4"/>
  <c r="B530" i="4"/>
  <c r="A531" i="5" l="1"/>
  <c r="B530" i="5"/>
  <c r="A532" i="4"/>
  <c r="B531" i="4"/>
  <c r="A532" i="5" l="1"/>
  <c r="B531" i="5"/>
  <c r="A533" i="4"/>
  <c r="B532" i="4"/>
  <c r="A533" i="5" l="1"/>
  <c r="B532" i="5"/>
  <c r="A534" i="4"/>
  <c r="B533" i="4"/>
  <c r="A534" i="5" l="1"/>
  <c r="B533" i="5"/>
  <c r="A535" i="4"/>
  <c r="B534" i="4"/>
  <c r="A535" i="5" l="1"/>
  <c r="B534" i="5"/>
  <c r="A536" i="4"/>
  <c r="B535" i="4"/>
  <c r="A536" i="5" l="1"/>
  <c r="B535" i="5"/>
  <c r="A537" i="4"/>
  <c r="B536" i="4"/>
  <c r="A537" i="5" l="1"/>
  <c r="B536" i="5"/>
  <c r="A538" i="4"/>
  <c r="B537" i="4"/>
  <c r="B537" i="5" l="1"/>
  <c r="A538" i="5"/>
  <c r="A539" i="4"/>
  <c r="B538" i="4"/>
  <c r="A539" i="5" l="1"/>
  <c r="B538" i="5"/>
  <c r="A540" i="4"/>
  <c r="B539" i="4"/>
  <c r="A540" i="5" l="1"/>
  <c r="B539" i="5"/>
  <c r="A541" i="4"/>
  <c r="B540" i="4"/>
  <c r="A541" i="5" l="1"/>
  <c r="B540" i="5"/>
  <c r="A542" i="4"/>
  <c r="B541" i="4"/>
  <c r="A542" i="5" l="1"/>
  <c r="B541" i="5"/>
  <c r="A543" i="4"/>
  <c r="B542" i="4"/>
  <c r="A543" i="5" l="1"/>
  <c r="B542" i="5"/>
  <c r="A544" i="4"/>
  <c r="B543" i="4"/>
  <c r="A544" i="5" l="1"/>
  <c r="B543" i="5"/>
  <c r="A545" i="4"/>
  <c r="B544" i="4"/>
  <c r="A545" i="5" l="1"/>
  <c r="B544" i="5"/>
  <c r="A546" i="4"/>
  <c r="B545" i="4"/>
  <c r="B545" i="5" l="1"/>
  <c r="A546" i="5"/>
  <c r="A547" i="4"/>
  <c r="B546" i="4"/>
  <c r="A547" i="5" l="1"/>
  <c r="B546" i="5"/>
  <c r="A548" i="4"/>
  <c r="B547" i="4"/>
  <c r="A548" i="5" l="1"/>
  <c r="B547" i="5"/>
  <c r="A549" i="4"/>
  <c r="B548" i="4"/>
  <c r="A549" i="5" l="1"/>
  <c r="B548" i="5"/>
  <c r="A550" i="4"/>
  <c r="B549" i="4"/>
  <c r="A550" i="5" l="1"/>
  <c r="B549" i="5"/>
  <c r="A551" i="4"/>
  <c r="B550" i="4"/>
  <c r="A551" i="5" l="1"/>
  <c r="B550" i="5"/>
  <c r="A552" i="4"/>
  <c r="B551" i="4"/>
  <c r="A552" i="5" l="1"/>
  <c r="B551" i="5"/>
  <c r="A553" i="4"/>
  <c r="B552" i="4"/>
  <c r="A553" i="5" l="1"/>
  <c r="B552" i="5"/>
  <c r="A554" i="4"/>
  <c r="B553" i="4"/>
  <c r="B553" i="5" l="1"/>
  <c r="A554" i="5"/>
  <c r="A555" i="4"/>
  <c r="B554" i="4"/>
  <c r="A555" i="5" l="1"/>
  <c r="B554" i="5"/>
  <c r="A556" i="4"/>
  <c r="B555" i="4"/>
  <c r="A556" i="5" l="1"/>
  <c r="B555" i="5"/>
  <c r="A557" i="4"/>
  <c r="B556" i="4"/>
  <c r="A557" i="5" l="1"/>
  <c r="B556" i="5"/>
  <c r="A558" i="4"/>
  <c r="B557" i="4"/>
  <c r="A558" i="5" l="1"/>
  <c r="B557" i="5"/>
  <c r="A559" i="4"/>
  <c r="B558" i="4"/>
  <c r="A559" i="5" l="1"/>
  <c r="B558" i="5"/>
  <c r="A560" i="4"/>
  <c r="B559" i="4"/>
  <c r="A560" i="5" l="1"/>
  <c r="B559" i="5"/>
  <c r="A561" i="4"/>
  <c r="B560" i="4"/>
  <c r="A561" i="5" l="1"/>
  <c r="B560" i="5"/>
  <c r="A562" i="4"/>
  <c r="B561" i="4"/>
  <c r="B561" i="5" l="1"/>
  <c r="A562" i="5"/>
  <c r="A563" i="4"/>
  <c r="B562" i="4"/>
  <c r="A563" i="5" l="1"/>
  <c r="B562" i="5"/>
  <c r="A564" i="4"/>
  <c r="B563" i="4"/>
  <c r="A564" i="5" l="1"/>
  <c r="B563" i="5"/>
  <c r="A565" i="4"/>
  <c r="B564" i="4"/>
  <c r="A565" i="5" l="1"/>
  <c r="B564" i="5"/>
  <c r="A566" i="4"/>
  <c r="B565" i="4"/>
  <c r="A566" i="5" l="1"/>
  <c r="B565" i="5"/>
  <c r="A567" i="4"/>
  <c r="B566" i="4"/>
  <c r="A567" i="5" l="1"/>
  <c r="B566" i="5"/>
  <c r="A568" i="4"/>
  <c r="B567" i="4"/>
  <c r="A568" i="5" l="1"/>
  <c r="B567" i="5"/>
  <c r="A569" i="4"/>
  <c r="B568" i="4"/>
  <c r="A569" i="5" l="1"/>
  <c r="B568" i="5"/>
  <c r="A570" i="4"/>
  <c r="B569" i="4"/>
  <c r="B569" i="5" l="1"/>
  <c r="A570" i="5"/>
  <c r="A571" i="4"/>
  <c r="B570" i="4"/>
  <c r="A571" i="5" l="1"/>
  <c r="B570" i="5"/>
  <c r="A572" i="4"/>
  <c r="B571" i="4"/>
  <c r="A572" i="5" l="1"/>
  <c r="B571" i="5"/>
  <c r="A573" i="4"/>
  <c r="B572" i="4"/>
  <c r="A573" i="5" l="1"/>
  <c r="B572" i="5"/>
  <c r="A574" i="4"/>
  <c r="B573" i="4"/>
  <c r="A574" i="5" l="1"/>
  <c r="B573" i="5"/>
  <c r="A575" i="4"/>
  <c r="B574" i="4"/>
  <c r="A575" i="5" l="1"/>
  <c r="B574" i="5"/>
  <c r="A576" i="4"/>
  <c r="B575" i="4"/>
  <c r="A576" i="5" l="1"/>
  <c r="B575" i="5"/>
  <c r="A577" i="4"/>
  <c r="B576" i="4"/>
  <c r="A577" i="5" l="1"/>
  <c r="B576" i="5"/>
  <c r="A578" i="4"/>
  <c r="B577" i="4"/>
  <c r="B577" i="5" l="1"/>
  <c r="A578" i="5"/>
  <c r="A579" i="4"/>
  <c r="B578" i="4"/>
  <c r="A579" i="5" l="1"/>
  <c r="B578" i="5"/>
  <c r="A580" i="4"/>
  <c r="B579" i="4"/>
  <c r="A580" i="5" l="1"/>
  <c r="B579" i="5"/>
  <c r="A581" i="4"/>
  <c r="B580" i="4"/>
  <c r="A581" i="5" l="1"/>
  <c r="B580" i="5"/>
  <c r="A582" i="4"/>
  <c r="B581" i="4"/>
  <c r="A582" i="5" l="1"/>
  <c r="B581" i="5"/>
  <c r="A583" i="4"/>
  <c r="B582" i="4"/>
  <c r="A583" i="5" l="1"/>
  <c r="B582" i="5"/>
  <c r="A584" i="4"/>
  <c r="B583" i="4"/>
  <c r="A584" i="5" l="1"/>
  <c r="B583" i="5"/>
  <c r="A585" i="4"/>
  <c r="B584" i="4"/>
  <c r="A585" i="5" l="1"/>
  <c r="B584" i="5"/>
  <c r="A586" i="4"/>
  <c r="B585" i="4"/>
  <c r="B585" i="5" l="1"/>
  <c r="A586" i="5"/>
  <c r="A587" i="4"/>
  <c r="B586" i="4"/>
  <c r="A587" i="5" l="1"/>
  <c r="B586" i="5"/>
  <c r="A588" i="4"/>
  <c r="B587" i="4"/>
  <c r="A588" i="5" l="1"/>
  <c r="B587" i="5"/>
  <c r="A589" i="4"/>
  <c r="B588" i="4"/>
  <c r="A589" i="5" l="1"/>
  <c r="B588" i="5"/>
  <c r="A590" i="4"/>
  <c r="B589" i="4"/>
  <c r="A590" i="5" l="1"/>
  <c r="B589" i="5"/>
  <c r="A591" i="4"/>
  <c r="B590" i="4"/>
  <c r="A591" i="5" l="1"/>
  <c r="B590" i="5"/>
  <c r="A592" i="4"/>
  <c r="B591" i="4"/>
  <c r="A592" i="5" l="1"/>
  <c r="B591" i="5"/>
  <c r="A593" i="4"/>
  <c r="B592" i="4"/>
  <c r="A593" i="5" l="1"/>
  <c r="B592" i="5"/>
  <c r="A594" i="4"/>
  <c r="B593" i="4"/>
  <c r="B593" i="5" l="1"/>
  <c r="A594" i="5"/>
  <c r="A595" i="4"/>
  <c r="B594" i="4"/>
  <c r="A595" i="5" l="1"/>
  <c r="B594" i="5"/>
  <c r="A596" i="4"/>
  <c r="B595" i="4"/>
  <c r="A596" i="5" l="1"/>
  <c r="B595" i="5"/>
  <c r="A597" i="4"/>
  <c r="B596" i="4"/>
  <c r="A597" i="5" l="1"/>
  <c r="B596" i="5"/>
  <c r="A598" i="4"/>
  <c r="B597" i="4"/>
  <c r="A598" i="5" l="1"/>
  <c r="B597" i="5"/>
  <c r="A599" i="4"/>
  <c r="B598" i="4"/>
  <c r="A599" i="5" l="1"/>
  <c r="B598" i="5"/>
  <c r="A600" i="4"/>
  <c r="B599" i="4"/>
  <c r="A600" i="5" l="1"/>
  <c r="B599" i="5"/>
  <c r="A601" i="4"/>
  <c r="B600" i="4"/>
  <c r="A601" i="5" l="1"/>
  <c r="B600" i="5"/>
  <c r="A602" i="4"/>
  <c r="B601" i="4"/>
  <c r="B601" i="5" l="1"/>
  <c r="A602" i="5"/>
  <c r="A603" i="4"/>
  <c r="B602" i="4"/>
  <c r="A603" i="5" l="1"/>
  <c r="B602" i="5"/>
  <c r="A604" i="4"/>
  <c r="B603" i="4"/>
  <c r="A604" i="5" l="1"/>
  <c r="B603" i="5"/>
  <c r="A605" i="4"/>
  <c r="B604" i="4"/>
  <c r="A605" i="5" l="1"/>
  <c r="B604" i="5"/>
  <c r="A606" i="4"/>
  <c r="B605" i="4"/>
  <c r="A606" i="5" l="1"/>
  <c r="B605" i="5"/>
  <c r="A607" i="4"/>
  <c r="B606" i="4"/>
  <c r="A607" i="5" l="1"/>
  <c r="B606" i="5"/>
  <c r="A608" i="4"/>
  <c r="B607" i="4"/>
  <c r="A608" i="5" l="1"/>
  <c r="B607" i="5"/>
  <c r="A609" i="4"/>
  <c r="B608" i="4"/>
  <c r="A609" i="5" l="1"/>
  <c r="B608" i="5"/>
  <c r="A610" i="4"/>
  <c r="B609" i="4"/>
  <c r="B609" i="5" l="1"/>
  <c r="A610" i="5"/>
  <c r="A611" i="4"/>
  <c r="B610" i="4"/>
  <c r="A611" i="5" l="1"/>
  <c r="B610" i="5"/>
  <c r="A612" i="4"/>
  <c r="B611" i="4"/>
  <c r="A612" i="5" l="1"/>
  <c r="B611" i="5"/>
  <c r="A613" i="4"/>
  <c r="B612" i="4"/>
  <c r="A613" i="5" l="1"/>
  <c r="B612" i="5"/>
  <c r="A614" i="4"/>
  <c r="B613" i="4"/>
  <c r="A614" i="5" l="1"/>
  <c r="B613" i="5"/>
  <c r="A615" i="4"/>
  <c r="B614" i="4"/>
  <c r="A615" i="5" l="1"/>
  <c r="B614" i="5"/>
  <c r="A616" i="4"/>
  <c r="B615" i="4"/>
  <c r="A616" i="5" l="1"/>
  <c r="B615" i="5"/>
  <c r="A617" i="4"/>
  <c r="B616" i="4"/>
  <c r="A617" i="5" l="1"/>
  <c r="B616" i="5"/>
  <c r="A618" i="4"/>
  <c r="B617" i="4"/>
  <c r="B617" i="5" l="1"/>
  <c r="A618" i="5"/>
  <c r="A619" i="4"/>
  <c r="B618" i="4"/>
  <c r="A619" i="5" l="1"/>
  <c r="B618" i="5"/>
  <c r="A620" i="4"/>
  <c r="B619" i="4"/>
  <c r="A620" i="5" l="1"/>
  <c r="B619" i="5"/>
  <c r="A621" i="4"/>
  <c r="B620" i="4"/>
  <c r="A621" i="5" l="1"/>
  <c r="B620" i="5"/>
  <c r="A622" i="4"/>
  <c r="B621" i="4"/>
  <c r="A622" i="5" l="1"/>
  <c r="B621" i="5"/>
  <c r="A623" i="4"/>
  <c r="B622" i="4"/>
  <c r="A623" i="5" l="1"/>
  <c r="B622" i="5"/>
  <c r="A624" i="4"/>
  <c r="B623" i="4"/>
  <c r="A624" i="5" l="1"/>
  <c r="B623" i="5"/>
  <c r="A625" i="4"/>
  <c r="B624" i="4"/>
  <c r="A625" i="5" l="1"/>
  <c r="B624" i="5"/>
  <c r="A626" i="4"/>
  <c r="B625" i="4"/>
  <c r="B625" i="5" l="1"/>
  <c r="A626" i="5"/>
  <c r="A627" i="4"/>
  <c r="B626" i="4"/>
  <c r="A627" i="5" l="1"/>
  <c r="B626" i="5"/>
  <c r="A628" i="4"/>
  <c r="B627" i="4"/>
  <c r="A628" i="5" l="1"/>
  <c r="B627" i="5"/>
  <c r="A629" i="4"/>
  <c r="B628" i="4"/>
  <c r="A629" i="5" l="1"/>
  <c r="B628" i="5"/>
  <c r="A630" i="4"/>
  <c r="B629" i="4"/>
  <c r="A630" i="5" l="1"/>
  <c r="B629" i="5"/>
  <c r="A631" i="4"/>
  <c r="B630" i="4"/>
  <c r="A631" i="5" l="1"/>
  <c r="B630" i="5"/>
  <c r="A632" i="4"/>
  <c r="B631" i="4"/>
  <c r="A632" i="5" l="1"/>
  <c r="B631" i="5"/>
  <c r="A633" i="4"/>
  <c r="B632" i="4"/>
  <c r="A633" i="5" l="1"/>
  <c r="B632" i="5"/>
  <c r="A634" i="4"/>
  <c r="B633" i="4"/>
  <c r="B633" i="5" l="1"/>
  <c r="A634" i="5"/>
  <c r="A635" i="4"/>
  <c r="B634" i="4"/>
  <c r="A635" i="5" l="1"/>
  <c r="B634" i="5"/>
  <c r="A636" i="4"/>
  <c r="B635" i="4"/>
  <c r="A636" i="5" l="1"/>
  <c r="B635" i="5"/>
  <c r="A637" i="4"/>
  <c r="B636" i="4"/>
  <c r="A637" i="5" l="1"/>
  <c r="B636" i="5"/>
  <c r="A638" i="4"/>
  <c r="B637" i="4"/>
  <c r="A638" i="5" l="1"/>
  <c r="B637" i="5"/>
  <c r="A639" i="4"/>
  <c r="B638" i="4"/>
  <c r="A639" i="5" l="1"/>
  <c r="B638" i="5"/>
  <c r="A640" i="4"/>
  <c r="B639" i="4"/>
  <c r="A640" i="5" l="1"/>
  <c r="B639" i="5"/>
  <c r="A641" i="4"/>
  <c r="B640" i="4"/>
  <c r="A641" i="5" l="1"/>
  <c r="B640" i="5"/>
  <c r="A642" i="4"/>
  <c r="B641" i="4"/>
  <c r="B641" i="5" l="1"/>
  <c r="A642" i="5"/>
  <c r="A643" i="4"/>
  <c r="B642" i="4"/>
  <c r="A643" i="5" l="1"/>
  <c r="B642" i="5"/>
  <c r="A644" i="4"/>
  <c r="B643" i="4"/>
  <c r="A644" i="5" l="1"/>
  <c r="B643" i="5"/>
  <c r="A645" i="4"/>
  <c r="B644" i="4"/>
  <c r="A645" i="5" l="1"/>
  <c r="B644" i="5"/>
  <c r="A646" i="4"/>
  <c r="B645" i="4"/>
  <c r="A646" i="5" l="1"/>
  <c r="B645" i="5"/>
  <c r="A647" i="4"/>
  <c r="B646" i="4"/>
  <c r="A647" i="5" l="1"/>
  <c r="B646" i="5"/>
  <c r="A648" i="4"/>
  <c r="B647" i="4"/>
  <c r="A648" i="5" l="1"/>
  <c r="B647" i="5"/>
  <c r="A649" i="4"/>
  <c r="B648" i="4"/>
  <c r="A649" i="5" l="1"/>
  <c r="B648" i="5"/>
  <c r="A650" i="4"/>
  <c r="B649" i="4"/>
  <c r="B649" i="5" l="1"/>
  <c r="A650" i="5"/>
  <c r="A651" i="4"/>
  <c r="B650" i="4"/>
  <c r="A651" i="5" l="1"/>
  <c r="B650" i="5"/>
  <c r="A652" i="4"/>
  <c r="B651" i="4"/>
  <c r="A652" i="5" l="1"/>
  <c r="B651" i="5"/>
  <c r="A653" i="4"/>
  <c r="B652" i="4"/>
  <c r="A653" i="5" l="1"/>
  <c r="B652" i="5"/>
  <c r="A654" i="4"/>
  <c r="B653" i="4"/>
  <c r="A654" i="5" l="1"/>
  <c r="B653" i="5"/>
  <c r="A655" i="4"/>
  <c r="B654" i="4"/>
  <c r="A655" i="5" l="1"/>
  <c r="B654" i="5"/>
  <c r="A656" i="4"/>
  <c r="B655" i="4"/>
  <c r="A656" i="5" l="1"/>
  <c r="B655" i="5"/>
  <c r="A657" i="4"/>
  <c r="B656" i="4"/>
  <c r="A657" i="5" l="1"/>
  <c r="B656" i="5"/>
  <c r="A658" i="4"/>
  <c r="B657" i="4"/>
  <c r="B657" i="5" l="1"/>
  <c r="A658" i="5"/>
  <c r="A659" i="4"/>
  <c r="B658" i="4"/>
  <c r="A659" i="5" l="1"/>
  <c r="B658" i="5"/>
  <c r="A660" i="4"/>
  <c r="B659" i="4"/>
  <c r="A660" i="5" l="1"/>
  <c r="B659" i="5"/>
  <c r="A661" i="4"/>
  <c r="B660" i="4"/>
  <c r="A661" i="5" l="1"/>
  <c r="B660" i="5"/>
  <c r="A662" i="4"/>
  <c r="B661" i="4"/>
  <c r="A662" i="5" l="1"/>
  <c r="B661" i="5"/>
  <c r="A663" i="4"/>
  <c r="B662" i="4"/>
  <c r="A663" i="5" l="1"/>
  <c r="B662" i="5"/>
  <c r="A664" i="4"/>
  <c r="B663" i="4"/>
  <c r="A664" i="5" l="1"/>
  <c r="B663" i="5"/>
  <c r="A665" i="4"/>
  <c r="B664" i="4"/>
  <c r="A665" i="5" l="1"/>
  <c r="B664" i="5"/>
  <c r="A666" i="4"/>
  <c r="B665" i="4"/>
  <c r="B665" i="5" l="1"/>
  <c r="A666" i="5"/>
  <c r="A667" i="4"/>
  <c r="B666" i="4"/>
  <c r="A667" i="5" l="1"/>
  <c r="B666" i="5"/>
  <c r="A668" i="4"/>
  <c r="B667" i="4"/>
  <c r="A668" i="5" l="1"/>
  <c r="B667" i="5"/>
  <c r="A669" i="4"/>
  <c r="B668" i="4"/>
  <c r="A669" i="5" l="1"/>
  <c r="B668" i="5"/>
  <c r="A670" i="4"/>
  <c r="B669" i="4"/>
  <c r="A670" i="5" l="1"/>
  <c r="B669" i="5"/>
  <c r="A671" i="4"/>
  <c r="B670" i="4"/>
  <c r="A671" i="5" l="1"/>
  <c r="B670" i="5"/>
  <c r="A672" i="4"/>
  <c r="B671" i="4"/>
  <c r="A672" i="5" l="1"/>
  <c r="B671" i="5"/>
  <c r="A673" i="4"/>
  <c r="B672" i="4"/>
  <c r="A673" i="5" l="1"/>
  <c r="B672" i="5"/>
  <c r="A674" i="4"/>
  <c r="B673" i="4"/>
  <c r="B673" i="5" l="1"/>
  <c r="A674" i="5"/>
  <c r="A675" i="4"/>
  <c r="B674" i="4"/>
  <c r="A675" i="5" l="1"/>
  <c r="B674" i="5"/>
  <c r="A676" i="4"/>
  <c r="B675" i="4"/>
  <c r="A676" i="5" l="1"/>
  <c r="B675" i="5"/>
  <c r="A677" i="4"/>
  <c r="B676" i="4"/>
  <c r="A677" i="5" l="1"/>
  <c r="B676" i="5"/>
  <c r="A678" i="4"/>
  <c r="B677" i="4"/>
  <c r="A678" i="5" l="1"/>
  <c r="B677" i="5"/>
  <c r="A679" i="4"/>
  <c r="B678" i="4"/>
  <c r="A679" i="5" l="1"/>
  <c r="B678" i="5"/>
  <c r="A680" i="4"/>
  <c r="B679" i="4"/>
  <c r="A680" i="5" l="1"/>
  <c r="B679" i="5"/>
  <c r="A681" i="4"/>
  <c r="B680" i="4"/>
  <c r="A681" i="5" l="1"/>
  <c r="B680" i="5"/>
  <c r="A682" i="4"/>
  <c r="B681" i="4"/>
  <c r="B681" i="5" l="1"/>
  <c r="A682" i="5"/>
  <c r="A683" i="4"/>
  <c r="B682" i="4"/>
  <c r="A683" i="5" l="1"/>
  <c r="B682" i="5"/>
  <c r="A684" i="4"/>
  <c r="B683" i="4"/>
  <c r="A684" i="5" l="1"/>
  <c r="B683" i="5"/>
  <c r="A685" i="4"/>
  <c r="B684" i="4"/>
  <c r="A685" i="5" l="1"/>
  <c r="B684" i="5"/>
  <c r="A686" i="4"/>
  <c r="B685" i="4"/>
  <c r="A686" i="5" l="1"/>
  <c r="B685" i="5"/>
  <c r="A687" i="4"/>
  <c r="B686" i="4"/>
  <c r="A687" i="5" l="1"/>
  <c r="B686" i="5"/>
  <c r="A688" i="4"/>
  <c r="B687" i="4"/>
  <c r="A688" i="5" l="1"/>
  <c r="B687" i="5"/>
  <c r="A689" i="4"/>
  <c r="B688" i="4"/>
  <c r="A689" i="5" l="1"/>
  <c r="B688" i="5"/>
  <c r="A690" i="4"/>
  <c r="B689" i="4"/>
  <c r="B689" i="5" l="1"/>
  <c r="A690" i="5"/>
  <c r="A691" i="4"/>
  <c r="B690" i="4"/>
  <c r="A691" i="5" l="1"/>
  <c r="B690" i="5"/>
  <c r="A692" i="4"/>
  <c r="B691" i="4"/>
  <c r="A692" i="5" l="1"/>
  <c r="B691" i="5"/>
  <c r="A693" i="4"/>
  <c r="B692" i="4"/>
  <c r="A693" i="5" l="1"/>
  <c r="B692" i="5"/>
  <c r="A694" i="4"/>
  <c r="B693" i="4"/>
  <c r="A694" i="5" l="1"/>
  <c r="B693" i="5"/>
  <c r="A695" i="4"/>
  <c r="B694" i="4"/>
  <c r="A695" i="5" l="1"/>
  <c r="B694" i="5"/>
  <c r="A696" i="4"/>
  <c r="B695" i="4"/>
  <c r="A696" i="5" l="1"/>
  <c r="B695" i="5"/>
  <c r="A697" i="4"/>
  <c r="B696" i="4"/>
  <c r="A697" i="5" l="1"/>
  <c r="B696" i="5"/>
  <c r="A698" i="4"/>
  <c r="B697" i="4"/>
  <c r="B697" i="5" l="1"/>
  <c r="A698" i="5"/>
  <c r="A699" i="4"/>
  <c r="B698" i="4"/>
  <c r="A699" i="5" l="1"/>
  <c r="B698" i="5"/>
  <c r="A700" i="4"/>
  <c r="B699" i="4"/>
  <c r="A700" i="5" l="1"/>
  <c r="B699" i="5"/>
  <c r="A701" i="4"/>
  <c r="B700" i="4"/>
  <c r="A701" i="5" l="1"/>
  <c r="B700" i="5"/>
  <c r="A702" i="4"/>
  <c r="B701" i="4"/>
  <c r="A702" i="5" l="1"/>
  <c r="B701" i="5"/>
  <c r="A703" i="4"/>
  <c r="B702" i="4"/>
  <c r="A703" i="5" l="1"/>
  <c r="B702" i="5"/>
  <c r="A704" i="4"/>
  <c r="B703" i="4"/>
  <c r="A704" i="5" l="1"/>
  <c r="B703" i="5"/>
  <c r="A705" i="4"/>
  <c r="B704" i="4"/>
  <c r="A705" i="5" l="1"/>
  <c r="B704" i="5"/>
  <c r="A706" i="4"/>
  <c r="B705" i="4"/>
  <c r="B705" i="5" l="1"/>
  <c r="A706" i="5"/>
  <c r="A707" i="4"/>
  <c r="B706" i="4"/>
  <c r="A707" i="5" l="1"/>
  <c r="B706" i="5"/>
  <c r="A708" i="4"/>
  <c r="B707" i="4"/>
  <c r="A708" i="5" l="1"/>
  <c r="B707" i="5"/>
  <c r="A709" i="4"/>
  <c r="B708" i="4"/>
  <c r="A709" i="5" l="1"/>
  <c r="B708" i="5"/>
  <c r="A710" i="4"/>
  <c r="B709" i="4"/>
  <c r="A710" i="5" l="1"/>
  <c r="B709" i="5"/>
  <c r="A711" i="4"/>
  <c r="B710" i="4"/>
  <c r="A711" i="5" l="1"/>
  <c r="B710" i="5"/>
  <c r="A712" i="4"/>
  <c r="B711" i="4"/>
  <c r="A712" i="5" l="1"/>
  <c r="B711" i="5"/>
  <c r="A713" i="4"/>
  <c r="B712" i="4"/>
  <c r="A713" i="5" l="1"/>
  <c r="B712" i="5"/>
  <c r="A714" i="4"/>
  <c r="B713" i="4"/>
  <c r="B713" i="5" l="1"/>
  <c r="A714" i="5"/>
  <c r="A715" i="4"/>
  <c r="B714" i="4"/>
  <c r="A715" i="5" l="1"/>
  <c r="B714" i="5"/>
  <c r="A716" i="4"/>
  <c r="B715" i="4"/>
  <c r="A716" i="5" l="1"/>
  <c r="B715" i="5"/>
  <c r="A717" i="4"/>
  <c r="B716" i="4"/>
  <c r="A717" i="5" l="1"/>
  <c r="B716" i="5"/>
  <c r="A718" i="4"/>
  <c r="B717" i="4"/>
  <c r="A718" i="5" l="1"/>
  <c r="B717" i="5"/>
  <c r="A719" i="4"/>
  <c r="B718" i="4"/>
  <c r="A719" i="5" l="1"/>
  <c r="B718" i="5"/>
  <c r="A720" i="4"/>
  <c r="B719" i="4"/>
  <c r="A720" i="5" l="1"/>
  <c r="B719" i="5"/>
  <c r="A721" i="4"/>
  <c r="B720" i="4"/>
  <c r="A721" i="5" l="1"/>
  <c r="B720" i="5"/>
  <c r="A722" i="4"/>
  <c r="B721" i="4"/>
  <c r="B721" i="5" l="1"/>
  <c r="A722" i="5"/>
  <c r="A723" i="4"/>
  <c r="B722" i="4"/>
  <c r="A723" i="5" l="1"/>
  <c r="B722" i="5"/>
  <c r="A724" i="4"/>
  <c r="B723" i="4"/>
  <c r="A724" i="5" l="1"/>
  <c r="B723" i="5"/>
  <c r="A725" i="4"/>
  <c r="B724" i="4"/>
  <c r="A725" i="5" l="1"/>
  <c r="B724" i="5"/>
  <c r="A726" i="4"/>
  <c r="B725" i="4"/>
  <c r="A726" i="5" l="1"/>
  <c r="B725" i="5"/>
  <c r="A727" i="4"/>
  <c r="B726" i="4"/>
  <c r="A727" i="5" l="1"/>
  <c r="B726" i="5"/>
  <c r="A728" i="4"/>
  <c r="B727" i="4"/>
  <c r="A728" i="5" l="1"/>
  <c r="B727" i="5"/>
  <c r="A729" i="4"/>
  <c r="B728" i="4"/>
  <c r="A729" i="5" l="1"/>
  <c r="B728" i="5"/>
  <c r="A730" i="4"/>
  <c r="B729" i="4"/>
  <c r="B729" i="5" l="1"/>
  <c r="A730" i="5"/>
  <c r="A731" i="4"/>
  <c r="B730" i="4"/>
  <c r="A731" i="5" l="1"/>
  <c r="B730" i="5"/>
  <c r="A732" i="4"/>
  <c r="B731" i="4"/>
  <c r="A732" i="5" l="1"/>
  <c r="B731" i="5"/>
  <c r="A733" i="4"/>
  <c r="B732" i="4"/>
  <c r="A733" i="5" l="1"/>
  <c r="B732" i="5"/>
  <c r="A734" i="4"/>
  <c r="B733" i="4"/>
  <c r="A734" i="5" l="1"/>
  <c r="B733" i="5"/>
  <c r="A735" i="4"/>
  <c r="B734" i="4"/>
  <c r="A735" i="5" l="1"/>
  <c r="B734" i="5"/>
  <c r="A736" i="4"/>
  <c r="B735" i="4"/>
  <c r="A736" i="5" l="1"/>
  <c r="B735" i="5"/>
  <c r="A737" i="4"/>
  <c r="B736" i="4"/>
  <c r="A737" i="5" l="1"/>
  <c r="B736" i="5"/>
  <c r="A738" i="4"/>
  <c r="B737" i="4"/>
  <c r="B737" i="5" l="1"/>
  <c r="A738" i="5"/>
  <c r="A739" i="4"/>
  <c r="B738" i="4"/>
  <c r="A739" i="5" l="1"/>
  <c r="B738" i="5"/>
  <c r="A740" i="4"/>
  <c r="B739" i="4"/>
  <c r="A740" i="5" l="1"/>
  <c r="B739" i="5"/>
  <c r="A741" i="4"/>
  <c r="B740" i="4"/>
  <c r="A741" i="5" l="1"/>
  <c r="B740" i="5"/>
  <c r="A742" i="4"/>
  <c r="B741" i="4"/>
  <c r="A742" i="5" l="1"/>
  <c r="B741" i="5"/>
  <c r="A743" i="4"/>
  <c r="B742" i="4"/>
  <c r="A743" i="5" l="1"/>
  <c r="B742" i="5"/>
  <c r="A744" i="4"/>
  <c r="B743" i="4"/>
  <c r="A744" i="5" l="1"/>
  <c r="B743" i="5"/>
  <c r="A745" i="4"/>
  <c r="B744" i="4"/>
  <c r="A745" i="5" l="1"/>
  <c r="B744" i="5"/>
  <c r="A746" i="4"/>
  <c r="B745" i="4"/>
  <c r="B745" i="5" l="1"/>
  <c r="A746" i="5"/>
  <c r="A747" i="4"/>
  <c r="B746" i="4"/>
  <c r="A747" i="5" l="1"/>
  <c r="B746" i="5"/>
  <c r="A748" i="4"/>
  <c r="B747" i="4"/>
  <c r="A748" i="5" l="1"/>
  <c r="B747" i="5"/>
  <c r="A749" i="4"/>
  <c r="B748" i="4"/>
  <c r="A749" i="5" l="1"/>
  <c r="B748" i="5"/>
  <c r="A750" i="4"/>
  <c r="B749" i="4"/>
  <c r="A750" i="5" l="1"/>
  <c r="B749" i="5"/>
  <c r="A751" i="4"/>
  <c r="B750" i="4"/>
  <c r="A751" i="5" l="1"/>
  <c r="B750" i="5"/>
  <c r="A752" i="4"/>
  <c r="B751" i="4"/>
  <c r="A752" i="5" l="1"/>
  <c r="B751" i="5"/>
  <c r="A753" i="4"/>
  <c r="B752" i="4"/>
  <c r="A753" i="5" l="1"/>
  <c r="B752" i="5"/>
  <c r="A754" i="4"/>
  <c r="B753" i="4"/>
  <c r="B753" i="5" l="1"/>
  <c r="A754" i="5"/>
  <c r="A755" i="4"/>
  <c r="B754" i="4"/>
  <c r="A755" i="5" l="1"/>
  <c r="B754" i="5"/>
  <c r="A756" i="4"/>
  <c r="B755" i="4"/>
  <c r="A756" i="5" l="1"/>
  <c r="B755" i="5"/>
  <c r="A757" i="4"/>
  <c r="B756" i="4"/>
  <c r="A757" i="5" l="1"/>
  <c r="B756" i="5"/>
  <c r="A758" i="4"/>
  <c r="B757" i="4"/>
  <c r="A758" i="5" l="1"/>
  <c r="B757" i="5"/>
  <c r="A759" i="4"/>
  <c r="B758" i="4"/>
  <c r="A759" i="5" l="1"/>
  <c r="B758" i="5"/>
  <c r="A760" i="4"/>
  <c r="B759" i="4"/>
  <c r="A760" i="5" l="1"/>
  <c r="B759" i="5"/>
  <c r="A761" i="4"/>
  <c r="B760" i="4"/>
  <c r="A761" i="5" l="1"/>
  <c r="B760" i="5"/>
  <c r="A762" i="4"/>
  <c r="B761" i="4"/>
  <c r="B761" i="5" l="1"/>
  <c r="A762" i="5"/>
  <c r="A763" i="4"/>
  <c r="B762" i="4"/>
  <c r="A763" i="5" l="1"/>
  <c r="B762" i="5"/>
  <c r="A764" i="4"/>
  <c r="B763" i="4"/>
  <c r="A764" i="5" l="1"/>
  <c r="B763" i="5"/>
  <c r="A765" i="4"/>
  <c r="B764" i="4"/>
  <c r="A765" i="5" l="1"/>
  <c r="B764" i="5"/>
  <c r="A766" i="4"/>
  <c r="B765" i="4"/>
  <c r="A766" i="5" l="1"/>
  <c r="B765" i="5"/>
  <c r="A767" i="4"/>
  <c r="B766" i="4"/>
  <c r="A767" i="5" l="1"/>
  <c r="B766" i="5"/>
  <c r="A768" i="4"/>
  <c r="B767" i="4"/>
  <c r="A768" i="5" l="1"/>
  <c r="B767" i="5"/>
  <c r="A769" i="4"/>
  <c r="B768" i="4"/>
  <c r="A769" i="5" l="1"/>
  <c r="B768" i="5"/>
  <c r="A770" i="4"/>
  <c r="B769" i="4"/>
  <c r="B769" i="5" l="1"/>
  <c r="A770" i="5"/>
  <c r="A771" i="4"/>
  <c r="B770" i="4"/>
  <c r="A771" i="5" l="1"/>
  <c r="B770" i="5"/>
  <c r="A772" i="4"/>
  <c r="B771" i="4"/>
  <c r="A772" i="5" l="1"/>
  <c r="B771" i="5"/>
  <c r="A773" i="4"/>
  <c r="B772" i="4"/>
  <c r="A773" i="5" l="1"/>
  <c r="B772" i="5"/>
  <c r="A774" i="4"/>
  <c r="B773" i="4"/>
  <c r="A774" i="5" l="1"/>
  <c r="B773" i="5"/>
  <c r="A775" i="4"/>
  <c r="B774" i="4"/>
  <c r="A775" i="5" l="1"/>
  <c r="B774" i="5"/>
  <c r="A776" i="4"/>
  <c r="B775" i="4"/>
  <c r="A776" i="5" l="1"/>
  <c r="B775" i="5"/>
  <c r="A777" i="4"/>
  <c r="B776" i="4"/>
  <c r="A777" i="5" l="1"/>
  <c r="B776" i="5"/>
  <c r="A778" i="4"/>
  <c r="B777" i="4"/>
  <c r="B777" i="5" l="1"/>
  <c r="A778" i="5"/>
  <c r="A779" i="4"/>
  <c r="B778" i="4"/>
  <c r="A779" i="5" l="1"/>
  <c r="B778" i="5"/>
  <c r="A780" i="4"/>
  <c r="B779" i="4"/>
  <c r="A780" i="5" l="1"/>
  <c r="B779" i="5"/>
  <c r="A781" i="4"/>
  <c r="B780" i="4"/>
  <c r="A781" i="5" l="1"/>
  <c r="B780" i="5"/>
  <c r="A782" i="4"/>
  <c r="B781" i="4"/>
  <c r="A782" i="5" l="1"/>
  <c r="B781" i="5"/>
  <c r="A783" i="4"/>
  <c r="B782" i="4"/>
  <c r="A783" i="5" l="1"/>
  <c r="B782" i="5"/>
  <c r="A784" i="4"/>
  <c r="B783" i="4"/>
  <c r="A784" i="5" l="1"/>
  <c r="B783" i="5"/>
  <c r="A785" i="4"/>
  <c r="B784" i="4"/>
  <c r="A785" i="5" l="1"/>
  <c r="B784" i="5"/>
  <c r="A786" i="4"/>
  <c r="B785" i="4"/>
  <c r="B785" i="5" l="1"/>
  <c r="A786" i="5"/>
  <c r="A787" i="4"/>
  <c r="B786" i="4"/>
  <c r="A787" i="5" l="1"/>
  <c r="B786" i="5"/>
  <c r="A788" i="4"/>
  <c r="B787" i="4"/>
  <c r="A788" i="5" l="1"/>
  <c r="B787" i="5"/>
  <c r="A789" i="4"/>
  <c r="B788" i="4"/>
  <c r="A789" i="5" l="1"/>
  <c r="B788" i="5"/>
  <c r="A790" i="4"/>
  <c r="B789" i="4"/>
  <c r="A790" i="5" l="1"/>
  <c r="B789" i="5"/>
  <c r="A791" i="4"/>
  <c r="B790" i="4"/>
  <c r="A791" i="5" l="1"/>
  <c r="B790" i="5"/>
  <c r="A792" i="4"/>
  <c r="B791" i="4"/>
  <c r="A792" i="5" l="1"/>
  <c r="B791" i="5"/>
  <c r="A793" i="4"/>
  <c r="B792" i="4"/>
  <c r="A793" i="5" l="1"/>
  <c r="B792" i="5"/>
  <c r="A794" i="4"/>
  <c r="B793" i="4"/>
  <c r="B793" i="5" l="1"/>
  <c r="A794" i="5"/>
  <c r="A795" i="4"/>
  <c r="B794" i="4"/>
  <c r="A795" i="5" l="1"/>
  <c r="B794" i="5"/>
  <c r="A796" i="4"/>
  <c r="B795" i="4"/>
  <c r="A796" i="5" l="1"/>
  <c r="B795" i="5"/>
  <c r="A797" i="4"/>
  <c r="B796" i="4"/>
  <c r="A797" i="5" l="1"/>
  <c r="B796" i="5"/>
  <c r="A798" i="4"/>
  <c r="B797" i="4"/>
  <c r="A798" i="5" l="1"/>
  <c r="B797" i="5"/>
  <c r="A799" i="4"/>
  <c r="B798" i="4"/>
  <c r="A799" i="5" l="1"/>
  <c r="B798" i="5"/>
  <c r="A800" i="4"/>
  <c r="B799" i="4"/>
  <c r="A800" i="5" l="1"/>
  <c r="B799" i="5"/>
  <c r="A801" i="4"/>
  <c r="B800" i="4"/>
  <c r="A801" i="5" l="1"/>
  <c r="B800" i="5"/>
  <c r="A802" i="4"/>
  <c r="B801" i="4"/>
  <c r="B801" i="5" l="1"/>
  <c r="A802" i="5"/>
  <c r="A803" i="4"/>
  <c r="B802" i="4"/>
  <c r="A803" i="5" l="1"/>
  <c r="B802" i="5"/>
  <c r="A804" i="4"/>
  <c r="B803" i="4"/>
  <c r="A804" i="5" l="1"/>
  <c r="B803" i="5"/>
  <c r="A805" i="4"/>
  <c r="B804" i="4"/>
  <c r="A805" i="5" l="1"/>
  <c r="B804" i="5"/>
  <c r="A806" i="4"/>
  <c r="B805" i="4"/>
  <c r="A806" i="5" l="1"/>
  <c r="B805" i="5"/>
  <c r="A807" i="4"/>
  <c r="B806" i="4"/>
  <c r="A807" i="5" l="1"/>
  <c r="B806" i="5"/>
  <c r="A808" i="4"/>
  <c r="B807" i="4"/>
  <c r="A808" i="5" l="1"/>
  <c r="B807" i="5"/>
  <c r="A809" i="4"/>
  <c r="B808" i="4"/>
  <c r="A809" i="5" l="1"/>
  <c r="B808" i="5"/>
  <c r="A810" i="4"/>
  <c r="B809" i="4"/>
  <c r="B809" i="5" l="1"/>
  <c r="A810" i="5"/>
  <c r="A811" i="4"/>
  <c r="B810" i="4"/>
  <c r="A811" i="5" l="1"/>
  <c r="B810" i="5"/>
  <c r="A812" i="4"/>
  <c r="B811" i="4"/>
  <c r="A812" i="5" l="1"/>
  <c r="B811" i="5"/>
  <c r="A813" i="4"/>
  <c r="B812" i="4"/>
  <c r="A813" i="5" l="1"/>
  <c r="B812" i="5"/>
  <c r="A814" i="4"/>
  <c r="B813" i="4"/>
  <c r="A814" i="5" l="1"/>
  <c r="B813" i="5"/>
  <c r="A815" i="4"/>
  <c r="B814" i="4"/>
  <c r="A815" i="5" l="1"/>
  <c r="B814" i="5"/>
  <c r="A816" i="4"/>
  <c r="B815" i="4"/>
  <c r="A816" i="5" l="1"/>
  <c r="B815" i="5"/>
  <c r="A817" i="4"/>
  <c r="B816" i="4"/>
  <c r="A817" i="5" l="1"/>
  <c r="B816" i="5"/>
  <c r="A818" i="4"/>
  <c r="B817" i="4"/>
  <c r="B817" i="5" l="1"/>
  <c r="A818" i="5"/>
  <c r="A819" i="4"/>
  <c r="B818" i="4"/>
  <c r="A819" i="5" l="1"/>
  <c r="B818" i="5"/>
  <c r="A820" i="4"/>
  <c r="B819" i="4"/>
  <c r="A820" i="5" l="1"/>
  <c r="B819" i="5"/>
  <c r="A821" i="4"/>
  <c r="B820" i="4"/>
  <c r="A821" i="5" l="1"/>
  <c r="B820" i="5"/>
  <c r="A822" i="4"/>
  <c r="B821" i="4"/>
  <c r="A822" i="5" l="1"/>
  <c r="B821" i="5"/>
  <c r="A823" i="4"/>
  <c r="B822" i="4"/>
  <c r="A823" i="5" l="1"/>
  <c r="B822" i="5"/>
  <c r="A824" i="4"/>
  <c r="B823" i="4"/>
  <c r="A824" i="5" l="1"/>
  <c r="B823" i="5"/>
  <c r="A825" i="4"/>
  <c r="B824" i="4"/>
  <c r="A825" i="5" l="1"/>
  <c r="B824" i="5"/>
  <c r="A826" i="4"/>
  <c r="B825" i="4"/>
  <c r="B825" i="5" l="1"/>
  <c r="A826" i="5"/>
  <c r="A827" i="4"/>
  <c r="B826" i="4"/>
  <c r="A827" i="5" l="1"/>
  <c r="B826" i="5"/>
  <c r="A828" i="4"/>
  <c r="B827" i="4"/>
  <c r="A828" i="5" l="1"/>
  <c r="B827" i="5"/>
  <c r="A829" i="4"/>
  <c r="B828" i="4"/>
  <c r="A829" i="5" l="1"/>
  <c r="B828" i="5"/>
  <c r="A830" i="4"/>
  <c r="B829" i="4"/>
  <c r="A830" i="5" l="1"/>
  <c r="B829" i="5"/>
  <c r="A831" i="4"/>
  <c r="B830" i="4"/>
  <c r="A831" i="5" l="1"/>
  <c r="B830" i="5"/>
  <c r="A832" i="4"/>
  <c r="B831" i="4"/>
  <c r="A832" i="5" l="1"/>
  <c r="B831" i="5"/>
  <c r="A833" i="4"/>
  <c r="B832" i="4"/>
  <c r="A833" i="5" l="1"/>
  <c r="B832" i="5"/>
  <c r="A834" i="4"/>
  <c r="B833" i="4"/>
  <c r="B833" i="5" l="1"/>
  <c r="A834" i="5"/>
  <c r="A835" i="4"/>
  <c r="B834" i="4"/>
  <c r="A835" i="5" l="1"/>
  <c r="B834" i="5"/>
  <c r="A836" i="4"/>
  <c r="B835" i="4"/>
  <c r="A836" i="5" l="1"/>
  <c r="B835" i="5"/>
  <c r="A837" i="4"/>
  <c r="B836" i="4"/>
  <c r="A837" i="5" l="1"/>
  <c r="B836" i="5"/>
  <c r="A838" i="4"/>
  <c r="B837" i="4"/>
  <c r="A838" i="5" l="1"/>
  <c r="B837" i="5"/>
  <c r="A839" i="4"/>
  <c r="B838" i="4"/>
  <c r="A839" i="5" l="1"/>
  <c r="B838" i="5"/>
  <c r="A840" i="4"/>
  <c r="B839" i="4"/>
  <c r="A840" i="5" l="1"/>
  <c r="B839" i="5"/>
  <c r="A841" i="4"/>
  <c r="B840" i="4"/>
  <c r="A841" i="5" l="1"/>
  <c r="B840" i="5"/>
  <c r="A842" i="4"/>
  <c r="B841" i="4"/>
  <c r="B841" i="5" l="1"/>
  <c r="A842" i="5"/>
  <c r="A843" i="4"/>
  <c r="B842" i="4"/>
  <c r="A843" i="5" l="1"/>
  <c r="B842" i="5"/>
  <c r="A844" i="4"/>
  <c r="B843" i="4"/>
  <c r="A844" i="5" l="1"/>
  <c r="B843" i="5"/>
  <c r="A845" i="4"/>
  <c r="B844" i="4"/>
  <c r="A845" i="5" l="1"/>
  <c r="B844" i="5"/>
  <c r="A846" i="4"/>
  <c r="B845" i="4"/>
  <c r="A846" i="5" l="1"/>
  <c r="B845" i="5"/>
  <c r="A847" i="4"/>
  <c r="B846" i="4"/>
  <c r="A847" i="5" l="1"/>
  <c r="B846" i="5"/>
  <c r="A848" i="4"/>
  <c r="B847" i="4"/>
  <c r="A848" i="5" l="1"/>
  <c r="B847" i="5"/>
  <c r="A849" i="4"/>
  <c r="B848" i="4"/>
  <c r="A849" i="5" l="1"/>
  <c r="B848" i="5"/>
  <c r="A850" i="4"/>
  <c r="B849" i="4"/>
  <c r="B849" i="5" l="1"/>
  <c r="A850" i="5"/>
  <c r="A851" i="4"/>
  <c r="B850" i="4"/>
  <c r="A851" i="5" l="1"/>
  <c r="B850" i="5"/>
  <c r="A852" i="4"/>
  <c r="B851" i="4"/>
  <c r="A852" i="5" l="1"/>
  <c r="B851" i="5"/>
  <c r="A853" i="4"/>
  <c r="B852" i="4"/>
  <c r="A853" i="5" l="1"/>
  <c r="B852" i="5"/>
  <c r="A854" i="4"/>
  <c r="B853" i="4"/>
  <c r="A854" i="5" l="1"/>
  <c r="B853" i="5"/>
  <c r="A855" i="4"/>
  <c r="B854" i="4"/>
  <c r="A855" i="5" l="1"/>
  <c r="B854" i="5"/>
  <c r="A856" i="4"/>
  <c r="B855" i="4"/>
  <c r="A856" i="5" l="1"/>
  <c r="B855" i="5"/>
  <c r="A857" i="4"/>
  <c r="B856" i="4"/>
  <c r="A857" i="5" l="1"/>
  <c r="B856" i="5"/>
  <c r="A858" i="4"/>
  <c r="B857" i="4"/>
  <c r="B857" i="5" l="1"/>
  <c r="A858" i="5"/>
  <c r="A859" i="4"/>
  <c r="B858" i="4"/>
  <c r="A859" i="5" l="1"/>
  <c r="B858" i="5"/>
  <c r="A860" i="4"/>
  <c r="B859" i="4"/>
  <c r="A860" i="5" l="1"/>
  <c r="B859" i="5"/>
  <c r="A861" i="4"/>
  <c r="B860" i="4"/>
  <c r="A861" i="5" l="1"/>
  <c r="B860" i="5"/>
  <c r="A862" i="4"/>
  <c r="B861" i="4"/>
  <c r="A862" i="5" l="1"/>
  <c r="B861" i="5"/>
  <c r="A863" i="4"/>
  <c r="B862" i="4"/>
  <c r="A863" i="5" l="1"/>
  <c r="B862" i="5"/>
  <c r="A864" i="4"/>
  <c r="B863" i="4"/>
  <c r="A864" i="5" l="1"/>
  <c r="B863" i="5"/>
  <c r="A865" i="4"/>
  <c r="B864" i="4"/>
  <c r="A865" i="5" l="1"/>
  <c r="B864" i="5"/>
  <c r="A866" i="4"/>
  <c r="B865" i="4"/>
  <c r="B865" i="5" l="1"/>
  <c r="A866" i="5"/>
  <c r="A867" i="4"/>
  <c r="B866" i="4"/>
  <c r="A867" i="5" l="1"/>
  <c r="B866" i="5"/>
  <c r="A868" i="4"/>
  <c r="B867" i="4"/>
  <c r="A868" i="5" l="1"/>
  <c r="B867" i="5"/>
  <c r="A869" i="4"/>
  <c r="B868" i="4"/>
  <c r="A869" i="5" l="1"/>
  <c r="B868" i="5"/>
  <c r="A870" i="4"/>
  <c r="B869" i="4"/>
  <c r="A870" i="5" l="1"/>
  <c r="B869" i="5"/>
  <c r="A871" i="4"/>
  <c r="B870" i="4"/>
  <c r="A871" i="5" l="1"/>
  <c r="B870" i="5"/>
  <c r="A872" i="4"/>
  <c r="B871" i="4"/>
  <c r="A872" i="5" l="1"/>
  <c r="B871" i="5"/>
  <c r="A873" i="4"/>
  <c r="B872" i="4"/>
  <c r="A873" i="5" l="1"/>
  <c r="B872" i="5"/>
  <c r="A874" i="4"/>
  <c r="B873" i="4"/>
  <c r="B873" i="5" l="1"/>
  <c r="A874" i="5"/>
  <c r="A875" i="4"/>
  <c r="B874" i="4"/>
  <c r="A875" i="5" l="1"/>
  <c r="B874" i="5"/>
  <c r="A876" i="4"/>
  <c r="B875" i="4"/>
  <c r="A876" i="5" l="1"/>
  <c r="B875" i="5"/>
  <c r="A877" i="4"/>
  <c r="B876" i="4"/>
  <c r="A877" i="5" l="1"/>
  <c r="B876" i="5"/>
  <c r="A878" i="4"/>
  <c r="B877" i="4"/>
  <c r="A878" i="5" l="1"/>
  <c r="B877" i="5"/>
  <c r="A879" i="4"/>
  <c r="B878" i="4"/>
  <c r="A879" i="5" l="1"/>
  <c r="B878" i="5"/>
  <c r="A880" i="4"/>
  <c r="B879" i="4"/>
  <c r="A880" i="5" l="1"/>
  <c r="B879" i="5"/>
  <c r="A881" i="4"/>
  <c r="B880" i="4"/>
  <c r="A881" i="5" l="1"/>
  <c r="B880" i="5"/>
  <c r="A882" i="4"/>
  <c r="B881" i="4"/>
  <c r="B881" i="5" l="1"/>
  <c r="A882" i="5"/>
  <c r="A883" i="4"/>
  <c r="B882" i="4"/>
  <c r="A883" i="5" l="1"/>
  <c r="B882" i="5"/>
  <c r="A884" i="4"/>
  <c r="B883" i="4"/>
  <c r="A884" i="5" l="1"/>
  <c r="B883" i="5"/>
  <c r="A885" i="4"/>
  <c r="B884" i="4"/>
  <c r="A885" i="5" l="1"/>
  <c r="B884" i="5"/>
  <c r="A886" i="4"/>
  <c r="B885" i="4"/>
  <c r="A886" i="5" l="1"/>
  <c r="B885" i="5"/>
  <c r="A887" i="4"/>
  <c r="B886" i="4"/>
  <c r="A887" i="5" l="1"/>
  <c r="B886" i="5"/>
  <c r="A888" i="4"/>
  <c r="B887" i="4"/>
  <c r="A888" i="5" l="1"/>
  <c r="B887" i="5"/>
  <c r="A889" i="4"/>
  <c r="B888" i="4"/>
  <c r="A889" i="5" l="1"/>
  <c r="B888" i="5"/>
  <c r="A890" i="4"/>
  <c r="B889" i="4"/>
  <c r="B889" i="5" l="1"/>
  <c r="A890" i="5"/>
  <c r="A891" i="4"/>
  <c r="B890" i="4"/>
  <c r="A891" i="5" l="1"/>
  <c r="B890" i="5"/>
  <c r="A892" i="4"/>
  <c r="B891" i="4"/>
  <c r="A892" i="5" l="1"/>
  <c r="B891" i="5"/>
  <c r="A893" i="4"/>
  <c r="B892" i="4"/>
  <c r="A893" i="5" l="1"/>
  <c r="B892" i="5"/>
  <c r="A894" i="4"/>
  <c r="B893" i="4"/>
  <c r="A894" i="5" l="1"/>
  <c r="B893" i="5"/>
  <c r="A895" i="4"/>
  <c r="B894" i="4"/>
  <c r="A895" i="5" l="1"/>
  <c r="B894" i="5"/>
  <c r="A896" i="4"/>
  <c r="B895" i="4"/>
  <c r="A896" i="5" l="1"/>
  <c r="B895" i="5"/>
  <c r="A897" i="4"/>
  <c r="B896" i="4"/>
  <c r="A897" i="5" l="1"/>
  <c r="B896" i="5"/>
  <c r="A898" i="4"/>
  <c r="B897" i="4"/>
  <c r="B897" i="5" l="1"/>
  <c r="A898" i="5"/>
  <c r="A899" i="4"/>
  <c r="B898" i="4"/>
  <c r="A899" i="5" l="1"/>
  <c r="B898" i="5"/>
  <c r="A900" i="4"/>
  <c r="B899" i="4"/>
  <c r="A900" i="5" l="1"/>
  <c r="B899" i="5"/>
  <c r="A901" i="4"/>
  <c r="B900" i="4"/>
  <c r="A901" i="5" l="1"/>
  <c r="B900" i="5"/>
  <c r="A902" i="4"/>
  <c r="B901" i="4"/>
  <c r="A902" i="5" l="1"/>
  <c r="B901" i="5"/>
  <c r="A903" i="4"/>
  <c r="B902" i="4"/>
  <c r="A903" i="5" l="1"/>
  <c r="B902" i="5"/>
  <c r="A904" i="4"/>
  <c r="B903" i="4"/>
  <c r="A904" i="5" l="1"/>
  <c r="B903" i="5"/>
  <c r="A905" i="4"/>
  <c r="B904" i="4"/>
  <c r="A905" i="5" l="1"/>
  <c r="B904" i="5"/>
  <c r="A906" i="4"/>
  <c r="B905" i="4"/>
  <c r="B905" i="5" l="1"/>
  <c r="A906" i="5"/>
  <c r="A907" i="4"/>
  <c r="B906" i="4"/>
  <c r="A907" i="5" l="1"/>
  <c r="B906" i="5"/>
  <c r="A908" i="4"/>
  <c r="B907" i="4"/>
  <c r="A908" i="5" l="1"/>
  <c r="B907" i="5"/>
  <c r="A909" i="4"/>
  <c r="B908" i="4"/>
  <c r="A909" i="5" l="1"/>
  <c r="B908" i="5"/>
  <c r="A910" i="4"/>
  <c r="B909" i="4"/>
  <c r="A910" i="5" l="1"/>
  <c r="B909" i="5"/>
  <c r="A911" i="4"/>
  <c r="B910" i="4"/>
  <c r="A911" i="5" l="1"/>
  <c r="B910" i="5"/>
  <c r="A912" i="4"/>
  <c r="B911" i="4"/>
  <c r="A912" i="5" l="1"/>
  <c r="B911" i="5"/>
  <c r="A913" i="4"/>
  <c r="B912" i="4"/>
  <c r="A913" i="5" l="1"/>
  <c r="B912" i="5"/>
  <c r="A914" i="4"/>
  <c r="B913" i="4"/>
  <c r="B913" i="5" l="1"/>
  <c r="A914" i="5"/>
  <c r="A915" i="4"/>
  <c r="B914" i="4"/>
  <c r="A915" i="5" l="1"/>
  <c r="B914" i="5"/>
  <c r="A916" i="4"/>
  <c r="B915" i="4"/>
  <c r="A916" i="5" l="1"/>
  <c r="B915" i="5"/>
  <c r="A917" i="4"/>
  <c r="B916" i="4"/>
  <c r="A917" i="5" l="1"/>
  <c r="B916" i="5"/>
  <c r="A918" i="4"/>
  <c r="B917" i="4"/>
  <c r="A918" i="5" l="1"/>
  <c r="B917" i="5"/>
  <c r="A919" i="4"/>
  <c r="B918" i="4"/>
  <c r="A919" i="5" l="1"/>
  <c r="B918" i="5"/>
  <c r="A920" i="4"/>
  <c r="B919" i="4"/>
  <c r="A920" i="5" l="1"/>
  <c r="B919" i="5"/>
  <c r="A921" i="4"/>
  <c r="B920" i="4"/>
  <c r="A921" i="5" l="1"/>
  <c r="B920" i="5"/>
  <c r="A922" i="4"/>
  <c r="B921" i="4"/>
  <c r="B921" i="5" l="1"/>
  <c r="A922" i="5"/>
  <c r="A923" i="4"/>
  <c r="B922" i="4"/>
  <c r="A923" i="5" l="1"/>
  <c r="B922" i="5"/>
  <c r="A924" i="4"/>
  <c r="B923" i="4"/>
  <c r="A924" i="5" l="1"/>
  <c r="B923" i="5"/>
  <c r="A925" i="4"/>
  <c r="B924" i="4"/>
  <c r="A925" i="5" l="1"/>
  <c r="B924" i="5"/>
  <c r="A926" i="4"/>
  <c r="B925" i="4"/>
  <c r="A926" i="5" l="1"/>
  <c r="B925" i="5"/>
  <c r="A927" i="4"/>
  <c r="B926" i="4"/>
  <c r="A927" i="5" l="1"/>
  <c r="B926" i="5"/>
  <c r="A928" i="4"/>
  <c r="B927" i="4"/>
  <c r="A928" i="5" l="1"/>
  <c r="B927" i="5"/>
  <c r="A929" i="4"/>
  <c r="B928" i="4"/>
  <c r="A929" i="5" l="1"/>
  <c r="B928" i="5"/>
  <c r="A930" i="4"/>
  <c r="B929" i="4"/>
  <c r="B929" i="5" l="1"/>
  <c r="A930" i="5"/>
  <c r="A931" i="4"/>
  <c r="B930" i="4"/>
  <c r="A931" i="5" l="1"/>
  <c r="B930" i="5"/>
  <c r="A932" i="4"/>
  <c r="B931" i="4"/>
  <c r="A932" i="5" l="1"/>
  <c r="B931" i="5"/>
  <c r="A933" i="4"/>
  <c r="B932" i="4"/>
  <c r="A933" i="5" l="1"/>
  <c r="B932" i="5"/>
  <c r="A934" i="4"/>
  <c r="B933" i="4"/>
  <c r="A934" i="5" l="1"/>
  <c r="B933" i="5"/>
  <c r="A935" i="4"/>
  <c r="B934" i="4"/>
  <c r="A935" i="5" l="1"/>
  <c r="B934" i="5"/>
  <c r="A936" i="4"/>
  <c r="B935" i="4"/>
  <c r="A936" i="5" l="1"/>
  <c r="B935" i="5"/>
  <c r="A937" i="4"/>
  <c r="B936" i="4"/>
  <c r="A937" i="5" l="1"/>
  <c r="B936" i="5"/>
  <c r="A938" i="4"/>
  <c r="B937" i="4"/>
  <c r="B937" i="5" l="1"/>
  <c r="A938" i="5"/>
  <c r="A939" i="4"/>
  <c r="B938" i="4"/>
  <c r="A939" i="5" l="1"/>
  <c r="B938" i="5"/>
  <c r="A940" i="4"/>
  <c r="B939" i="4"/>
  <c r="A940" i="5" l="1"/>
  <c r="B939" i="5"/>
  <c r="A941" i="4"/>
  <c r="B940" i="4"/>
  <c r="A941" i="5" l="1"/>
  <c r="B940" i="5"/>
  <c r="A942" i="4"/>
  <c r="B941" i="4"/>
  <c r="A942" i="5" l="1"/>
  <c r="B941" i="5"/>
  <c r="A943" i="4"/>
  <c r="B942" i="4"/>
  <c r="A943" i="5" l="1"/>
  <c r="B942" i="5"/>
  <c r="A944" i="4"/>
  <c r="B943" i="4"/>
  <c r="A944" i="5" l="1"/>
  <c r="B943" i="5"/>
  <c r="A945" i="4"/>
  <c r="B944" i="4"/>
  <c r="A945" i="5" l="1"/>
  <c r="B944" i="5"/>
  <c r="A946" i="4"/>
  <c r="B945" i="4"/>
  <c r="B945" i="5" l="1"/>
  <c r="A946" i="5"/>
  <c r="A947" i="4"/>
  <c r="B946" i="4"/>
  <c r="A947" i="5" l="1"/>
  <c r="B946" i="5"/>
  <c r="A948" i="4"/>
  <c r="B947" i="4"/>
  <c r="A948" i="5" l="1"/>
  <c r="B947" i="5"/>
  <c r="A949" i="4"/>
  <c r="B948" i="4"/>
  <c r="A949" i="5" l="1"/>
  <c r="B948" i="5"/>
  <c r="A950" i="4"/>
  <c r="B949" i="4"/>
  <c r="A950" i="5" l="1"/>
  <c r="B949" i="5"/>
  <c r="A951" i="4"/>
  <c r="B950" i="4"/>
  <c r="A951" i="5" l="1"/>
  <c r="B950" i="5"/>
  <c r="A952" i="4"/>
  <c r="B951" i="4"/>
  <c r="A952" i="5" l="1"/>
  <c r="B951" i="5"/>
  <c r="A953" i="4"/>
  <c r="B952" i="4"/>
  <c r="A953" i="5" l="1"/>
  <c r="B952" i="5"/>
  <c r="A954" i="4"/>
  <c r="B953" i="4"/>
  <c r="B953" i="5" l="1"/>
  <c r="A954" i="5"/>
  <c r="A955" i="4"/>
  <c r="B954" i="4"/>
  <c r="A955" i="5" l="1"/>
  <c r="B954" i="5"/>
  <c r="A956" i="4"/>
  <c r="B955" i="4"/>
  <c r="A956" i="5" l="1"/>
  <c r="B955" i="5"/>
  <c r="A957" i="4"/>
  <c r="B956" i="4"/>
  <c r="A957" i="5" l="1"/>
  <c r="B956" i="5"/>
  <c r="A958" i="4"/>
  <c r="B957" i="4"/>
  <c r="A958" i="5" l="1"/>
  <c r="B957" i="5"/>
  <c r="A959" i="4"/>
  <c r="B958" i="4"/>
  <c r="A959" i="5" l="1"/>
  <c r="B958" i="5"/>
  <c r="A960" i="4"/>
  <c r="B959" i="4"/>
  <c r="A960" i="5" l="1"/>
  <c r="B959" i="5"/>
  <c r="A961" i="4"/>
  <c r="B960" i="4"/>
  <c r="A961" i="5" l="1"/>
  <c r="B960" i="5"/>
  <c r="A962" i="4"/>
  <c r="B961" i="4"/>
  <c r="B961" i="5" l="1"/>
  <c r="A962" i="5"/>
  <c r="A963" i="4"/>
  <c r="B962" i="4"/>
  <c r="A963" i="5" l="1"/>
  <c r="B962" i="5"/>
  <c r="A964" i="4"/>
  <c r="B963" i="4"/>
  <c r="A964" i="5" l="1"/>
  <c r="B963" i="5"/>
  <c r="A965" i="4"/>
  <c r="B964" i="4"/>
  <c r="A965" i="5" l="1"/>
  <c r="B964" i="5"/>
  <c r="A966" i="4"/>
  <c r="B965" i="4"/>
  <c r="A966" i="5" l="1"/>
  <c r="B965" i="5"/>
  <c r="A967" i="4"/>
  <c r="B966" i="4"/>
  <c r="A967" i="5" l="1"/>
  <c r="B966" i="5"/>
  <c r="A968" i="4"/>
  <c r="B967" i="4"/>
  <c r="A968" i="5" l="1"/>
  <c r="B967" i="5"/>
  <c r="A969" i="4"/>
  <c r="B968" i="4"/>
  <c r="A969" i="5" l="1"/>
  <c r="B968" i="5"/>
  <c r="A970" i="4"/>
  <c r="B969" i="4"/>
  <c r="B969" i="5" l="1"/>
  <c r="A970" i="5"/>
  <c r="A971" i="4"/>
  <c r="B970" i="4"/>
  <c r="A971" i="5" l="1"/>
  <c r="B970" i="5"/>
  <c r="A972" i="4"/>
  <c r="B971" i="4"/>
  <c r="A972" i="5" l="1"/>
  <c r="B971" i="5"/>
  <c r="A973" i="4"/>
  <c r="B972" i="4"/>
  <c r="A973" i="5" l="1"/>
  <c r="B972" i="5"/>
  <c r="A974" i="4"/>
  <c r="B973" i="4"/>
  <c r="A974" i="5" l="1"/>
  <c r="B973" i="5"/>
  <c r="A975" i="4"/>
  <c r="B974" i="4"/>
  <c r="A975" i="5" l="1"/>
  <c r="B974" i="5"/>
  <c r="A976" i="4"/>
  <c r="B975" i="4"/>
  <c r="A976" i="5" l="1"/>
  <c r="B975" i="5"/>
  <c r="A977" i="4"/>
  <c r="B976" i="4"/>
  <c r="A977" i="5" l="1"/>
  <c r="B976" i="5"/>
  <c r="A978" i="4"/>
  <c r="B977" i="4"/>
  <c r="B977" i="5" l="1"/>
  <c r="A978" i="5"/>
  <c r="A979" i="4"/>
  <c r="B978" i="4"/>
  <c r="A979" i="5" l="1"/>
  <c r="B978" i="5"/>
  <c r="A980" i="4"/>
  <c r="B979" i="4"/>
  <c r="A980" i="5" l="1"/>
  <c r="B979" i="5"/>
  <c r="A981" i="4"/>
  <c r="B980" i="4"/>
  <c r="A981" i="5" l="1"/>
  <c r="B980" i="5"/>
  <c r="A982" i="4"/>
  <c r="B981" i="4"/>
  <c r="A982" i="5" l="1"/>
  <c r="B981" i="5"/>
  <c r="A983" i="4"/>
  <c r="B982" i="4"/>
  <c r="A983" i="5" l="1"/>
  <c r="B982" i="5"/>
  <c r="A984" i="4"/>
  <c r="B983" i="4"/>
  <c r="A984" i="5" l="1"/>
  <c r="B983" i="5"/>
  <c r="A985" i="4"/>
  <c r="B984" i="4"/>
  <c r="A985" i="5" l="1"/>
  <c r="B984" i="5"/>
  <c r="A986" i="4"/>
  <c r="B985" i="4"/>
  <c r="B985" i="5" l="1"/>
  <c r="A986" i="5"/>
  <c r="A987" i="4"/>
  <c r="B986" i="4"/>
  <c r="A987" i="5" l="1"/>
  <c r="B986" i="5"/>
  <c r="A988" i="4"/>
  <c r="B987" i="4"/>
  <c r="A988" i="5" l="1"/>
  <c r="B987" i="5"/>
  <c r="A989" i="4"/>
  <c r="B988" i="4"/>
  <c r="A989" i="5" l="1"/>
  <c r="B988" i="5"/>
  <c r="A990" i="4"/>
  <c r="B989" i="4"/>
  <c r="A990" i="5" l="1"/>
  <c r="B989" i="5"/>
  <c r="A991" i="4"/>
  <c r="B990" i="4"/>
  <c r="A991" i="5" l="1"/>
  <c r="B990" i="5"/>
  <c r="A992" i="4"/>
  <c r="B991" i="4"/>
  <c r="A992" i="5" l="1"/>
  <c r="B991" i="5"/>
  <c r="A993" i="4"/>
  <c r="B992" i="4"/>
  <c r="A993" i="5" l="1"/>
  <c r="B992" i="5"/>
  <c r="A994" i="4"/>
  <c r="B993" i="4"/>
  <c r="B993" i="5" l="1"/>
  <c r="A994" i="5"/>
  <c r="A995" i="4"/>
  <c r="B994" i="4"/>
  <c r="A995" i="5" l="1"/>
  <c r="B994" i="5"/>
  <c r="A996" i="4"/>
  <c r="B995" i="4"/>
  <c r="A996" i="5" l="1"/>
  <c r="B995" i="5"/>
  <c r="A997" i="4"/>
  <c r="B996" i="4"/>
  <c r="A997" i="5" l="1"/>
  <c r="B996" i="5"/>
  <c r="A998" i="4"/>
  <c r="B997" i="4"/>
  <c r="A998" i="5" l="1"/>
  <c r="B997" i="5"/>
  <c r="A999" i="4"/>
  <c r="B998" i="4"/>
  <c r="A999" i="5" l="1"/>
  <c r="B998" i="5"/>
  <c r="A1000" i="4"/>
  <c r="B999" i="4"/>
  <c r="A1000" i="5" l="1"/>
  <c r="B999" i="5"/>
  <c r="A1001" i="4"/>
  <c r="B1001" i="4" s="1"/>
  <c r="B1000" i="4"/>
  <c r="A1001" i="5" l="1"/>
  <c r="B1001" i="5" s="1"/>
  <c r="B1000" i="5"/>
</calcChain>
</file>

<file path=xl/sharedStrings.xml><?xml version="1.0" encoding="utf-8"?>
<sst xmlns="http://schemas.openxmlformats.org/spreadsheetml/2006/main" count="2161" uniqueCount="108">
  <si>
    <t>You want to categorize it like this:</t>
  </si>
  <si>
    <t>1.1 Question</t>
  </si>
  <si>
    <t>Amount Player Has:</t>
  </si>
  <si>
    <t>Category They Fall in:</t>
  </si>
  <si>
    <t>1.1 Solution</t>
  </si>
  <si>
    <t>SN</t>
  </si>
  <si>
    <t>Policy Number</t>
  </si>
  <si>
    <t>Category</t>
  </si>
  <si>
    <t>Policy Year</t>
  </si>
  <si>
    <t>Reported Year</t>
  </si>
  <si>
    <t>Paid Claim</t>
  </si>
  <si>
    <t>Motor</t>
  </si>
  <si>
    <t>Property</t>
  </si>
  <si>
    <t>Total Paid Claim Each Category</t>
  </si>
  <si>
    <t>Total Paid Claim Each Category Each Year</t>
  </si>
  <si>
    <t>Origin</t>
  </si>
  <si>
    <t>Lag</t>
  </si>
  <si>
    <t>Devlopment Triangle</t>
  </si>
  <si>
    <t>VlookUp</t>
  </si>
  <si>
    <t xml:space="preserve">Policy Number </t>
  </si>
  <si>
    <t>Claim Paid</t>
  </si>
  <si>
    <t>XlookUp</t>
  </si>
  <si>
    <t>Index Match</t>
  </si>
  <si>
    <t>Mortality Table</t>
  </si>
  <si>
    <t>Age</t>
  </si>
  <si>
    <t>Term</t>
  </si>
  <si>
    <t>qx</t>
  </si>
  <si>
    <t>Interest Rate</t>
  </si>
  <si>
    <t>Principal</t>
  </si>
  <si>
    <r>
      <t xml:space="preserve">Suppose cell contains the </t>
    </r>
    <r>
      <rPr>
        <b/>
        <sz val="12"/>
        <color theme="1"/>
        <rFont val="Amasis MT Pro"/>
        <family val="1"/>
      </rPr>
      <t>amount a player won or lost</t>
    </r>
    <r>
      <rPr>
        <sz val="12"/>
        <color theme="1"/>
        <rFont val="Amasis MT Pro"/>
        <family val="1"/>
      </rPr>
      <t>.</t>
    </r>
  </si>
  <si>
    <r>
      <t xml:space="preserve">If they </t>
    </r>
    <r>
      <rPr>
        <b/>
        <sz val="12"/>
        <color theme="1"/>
        <rFont val="Amasis MT Pro"/>
        <family val="1"/>
      </rPr>
      <t>won more than $1000</t>
    </r>
    <r>
      <rPr>
        <sz val="12"/>
        <color theme="1"/>
        <rFont val="Amasis MT Pro"/>
        <family val="1"/>
      </rPr>
      <t>, return "Big Win"</t>
    </r>
  </si>
  <si>
    <r>
      <t xml:space="preserve">If they </t>
    </r>
    <r>
      <rPr>
        <b/>
        <sz val="12"/>
        <color theme="1"/>
        <rFont val="Amasis MT Pro"/>
        <family val="1"/>
      </rPr>
      <t>won between $100 and $1000</t>
    </r>
    <r>
      <rPr>
        <sz val="12"/>
        <color theme="1"/>
        <rFont val="Amasis MT Pro"/>
        <family val="1"/>
      </rPr>
      <t>, return "Win"</t>
    </r>
  </si>
  <si>
    <r>
      <t xml:space="preserve">If they </t>
    </r>
    <r>
      <rPr>
        <b/>
        <sz val="12"/>
        <color theme="1"/>
        <rFont val="Amasis MT Pro"/>
        <family val="1"/>
      </rPr>
      <t>broke even (0)</t>
    </r>
    <r>
      <rPr>
        <sz val="12"/>
        <color theme="1"/>
        <rFont val="Amasis MT Pro"/>
        <family val="1"/>
      </rPr>
      <t>, return "Break Even"</t>
    </r>
  </si>
  <si>
    <r>
      <t xml:space="preserve">If they </t>
    </r>
    <r>
      <rPr>
        <b/>
        <sz val="12"/>
        <color theme="1"/>
        <rFont val="Amasis MT Pro"/>
        <family val="1"/>
      </rPr>
      <t>lost up to $-500</t>
    </r>
    <r>
      <rPr>
        <sz val="12"/>
        <color theme="1"/>
        <rFont val="Amasis MT Pro"/>
        <family val="1"/>
      </rPr>
      <t>, return "Loss"</t>
    </r>
  </si>
  <si>
    <r>
      <t xml:space="preserve">If they </t>
    </r>
    <r>
      <rPr>
        <b/>
        <sz val="12"/>
        <color theme="1"/>
        <rFont val="Amasis MT Pro"/>
        <family val="1"/>
      </rPr>
      <t>lost more than $-500</t>
    </r>
    <r>
      <rPr>
        <sz val="12"/>
        <color theme="1"/>
        <rFont val="Amasis MT Pro"/>
        <family val="1"/>
      </rPr>
      <t>, return "Big Loss"</t>
    </r>
  </si>
  <si>
    <t>BOE</t>
  </si>
  <si>
    <t>EOD</t>
  </si>
  <si>
    <t>Repayment</t>
  </si>
  <si>
    <t>Increment</t>
  </si>
  <si>
    <t>Loan Due</t>
  </si>
  <si>
    <t>term</t>
  </si>
  <si>
    <t>loan due</t>
  </si>
  <si>
    <t>interest amount</t>
  </si>
  <si>
    <t>repayment</t>
  </si>
  <si>
    <t>loan schedule</t>
  </si>
  <si>
    <t>Counter</t>
  </si>
  <si>
    <t>Date of Birth Calculator</t>
  </si>
  <si>
    <t>Input Your DOB</t>
  </si>
  <si>
    <t>Your Age is</t>
  </si>
  <si>
    <t>DATEDIF</t>
  </si>
  <si>
    <t>Calculate Age</t>
  </si>
  <si>
    <t>EOMONTH</t>
  </si>
  <si>
    <t>Returns Last Day of the month</t>
  </si>
  <si>
    <t>Last Day of the Month</t>
  </si>
  <si>
    <t>Input Date</t>
  </si>
  <si>
    <t>Last Day Date</t>
  </si>
  <si>
    <r>
      <t>(</t>
    </r>
    <r>
      <rPr>
        <sz val="12"/>
        <color theme="5"/>
        <rFont val="Amasis MT Pro"/>
        <family val="1"/>
      </rPr>
      <t>Start Date</t>
    </r>
    <r>
      <rPr>
        <sz val="12"/>
        <color theme="1"/>
        <rFont val="Amasis MT Pro"/>
        <family val="1"/>
      </rPr>
      <t xml:space="preserve">, </t>
    </r>
    <r>
      <rPr>
        <sz val="12"/>
        <color theme="6"/>
        <rFont val="Amasis MT Pro"/>
        <family val="1"/>
      </rPr>
      <t>End Date</t>
    </r>
    <r>
      <rPr>
        <sz val="12"/>
        <color theme="1"/>
        <rFont val="Amasis MT Pro"/>
        <family val="1"/>
      </rPr>
      <t xml:space="preserve">, </t>
    </r>
    <r>
      <rPr>
        <sz val="12"/>
        <color rgb="FFFF0000"/>
        <rFont val="Amasis MT Pro"/>
        <family val="1"/>
      </rPr>
      <t>"Y"</t>
    </r>
    <r>
      <rPr>
        <sz val="12"/>
        <color theme="1"/>
        <rFont val="Amasis MT Pro"/>
        <family val="1"/>
      </rPr>
      <t>)</t>
    </r>
  </si>
  <si>
    <r>
      <t>(</t>
    </r>
    <r>
      <rPr>
        <sz val="12"/>
        <color theme="5"/>
        <rFont val="Amasis MT Pro"/>
        <family val="1"/>
      </rPr>
      <t>Start Date</t>
    </r>
    <r>
      <rPr>
        <sz val="12"/>
        <color theme="1"/>
        <rFont val="Amasis MT Pro"/>
        <family val="1"/>
      </rPr>
      <t>,</t>
    </r>
    <r>
      <rPr>
        <sz val="12"/>
        <color theme="9" tint="-0.249977111117893"/>
        <rFont val="Amasis MT Pro"/>
        <family val="1"/>
      </rPr>
      <t>Months</t>
    </r>
    <r>
      <rPr>
        <sz val="12"/>
        <color theme="1"/>
        <rFont val="Amasis MT Pro"/>
        <family val="1"/>
      </rPr>
      <t>)</t>
    </r>
  </si>
  <si>
    <t>EDATE</t>
  </si>
  <si>
    <t>Returns the same day of the Months</t>
  </si>
  <si>
    <t>Function</t>
  </si>
  <si>
    <t>Inputs</t>
  </si>
  <si>
    <t>Used for</t>
  </si>
  <si>
    <r>
      <t>(</t>
    </r>
    <r>
      <rPr>
        <sz val="12"/>
        <color theme="5"/>
        <rFont val="Amasis MT Pro"/>
        <family val="1"/>
      </rPr>
      <t>Start Date</t>
    </r>
    <r>
      <rPr>
        <sz val="12"/>
        <color theme="1"/>
        <rFont val="Amasis MT Pro"/>
        <family val="1"/>
      </rPr>
      <t>,</t>
    </r>
    <r>
      <rPr>
        <sz val="12"/>
        <color theme="9" tint="-0.249977111117893"/>
        <rFont val="Amasis MT Pro"/>
        <family val="1"/>
      </rPr>
      <t xml:space="preserve"> Months</t>
    </r>
    <r>
      <rPr>
        <sz val="12"/>
        <color theme="1"/>
        <rFont val="Amasis MT Pro"/>
        <family val="1"/>
      </rPr>
      <t>)</t>
    </r>
  </si>
  <si>
    <t>Next Month Same day</t>
  </si>
  <si>
    <t>Next Month Date</t>
  </si>
  <si>
    <t>Use Me to Move Around</t>
  </si>
  <si>
    <t>Sheets Name</t>
  </si>
  <si>
    <t>Click Me</t>
  </si>
  <si>
    <t>If</t>
  </si>
  <si>
    <t>Sum if</t>
  </si>
  <si>
    <t>LookUps</t>
  </si>
  <si>
    <t>Date Function</t>
  </si>
  <si>
    <t>Goal Seek</t>
  </si>
  <si>
    <t>Return Back</t>
  </si>
  <si>
    <t>Title</t>
  </si>
  <si>
    <t>Actuarial Bootcamp WorkBook</t>
  </si>
  <si>
    <t>Created by</t>
  </si>
  <si>
    <t>Krishna Kumar Shrestha</t>
  </si>
  <si>
    <t>Program</t>
  </si>
  <si>
    <t>Masters of Professional Sceince in Actuarial Science</t>
  </si>
  <si>
    <t>University</t>
  </si>
  <si>
    <t>Middle Tennessee State University</t>
  </si>
  <si>
    <t>Club</t>
  </si>
  <si>
    <t>Actuarial Mathematics Student Association</t>
  </si>
  <si>
    <t>📘 Purpose</t>
  </si>
  <si>
    <t>🔐 Enabling Macros</t>
  </si>
  <si>
    <t>In rare cases, if you see a security warning or features are not working:</t>
  </si>
  <si>
    <t>1. Right-click the Excel file → Properties</t>
  </si>
  <si>
    <t>Usually, Excel will run the workbook without requiring this step.</t>
  </si>
  <si>
    <t>🕒 Session Validity</t>
  </si>
  <si>
    <t>During this period, students are encouraged to:</t>
  </si>
  <si>
    <t>Attend in-person sessions</t>
  </si>
  <si>
    <t>Explore and understand each section</t>
  </si>
  <si>
    <t>Replicate and practice the examples independently</t>
  </si>
  <si>
    <t>🙌 Final Note</t>
  </si>
  <si>
    <r>
      <t xml:space="preserve">Understand and apply </t>
    </r>
    <r>
      <rPr>
        <b/>
        <sz val="12"/>
        <color theme="1"/>
        <rFont val="Amasis MT Pro"/>
        <family val="1"/>
      </rPr>
      <t>common Excel functions</t>
    </r>
    <r>
      <rPr>
        <sz val="12"/>
        <color theme="1"/>
        <rFont val="Amasis MT Pro"/>
        <family val="1"/>
      </rPr>
      <t xml:space="preserve"> used in Actuarial Science</t>
    </r>
  </si>
  <si>
    <r>
      <t xml:space="preserve">Explore </t>
    </r>
    <r>
      <rPr>
        <b/>
        <sz val="12"/>
        <color theme="1"/>
        <rFont val="Amasis MT Pro"/>
        <family val="1"/>
      </rPr>
      <t>examples and use cases</t>
    </r>
    <r>
      <rPr>
        <sz val="12"/>
        <color theme="1"/>
        <rFont val="Amasis MT Pro"/>
        <family val="1"/>
      </rPr>
      <t xml:space="preserve"> related to </t>
    </r>
    <r>
      <rPr>
        <b/>
        <sz val="12"/>
        <color theme="1"/>
        <rFont val="Amasis MT Pro"/>
        <family val="1"/>
      </rPr>
      <t>pricing and reserving</t>
    </r>
  </si>
  <si>
    <r>
      <t xml:space="preserve">To make full use of this workbook, </t>
    </r>
    <r>
      <rPr>
        <b/>
        <sz val="12"/>
        <color theme="1"/>
        <rFont val="Amasis MT Pro"/>
        <family val="1"/>
      </rPr>
      <t>macros must be enabled</t>
    </r>
    <r>
      <rPr>
        <sz val="12"/>
        <color theme="1"/>
        <rFont val="Amasis MT Pro"/>
        <family val="1"/>
      </rPr>
      <t>.</t>
    </r>
  </si>
  <si>
    <r>
      <t xml:space="preserve">2. At the bottom, click </t>
    </r>
    <r>
      <rPr>
        <b/>
        <sz val="12"/>
        <color theme="1"/>
        <rFont val="Amasis MT Pro"/>
        <family val="1"/>
      </rPr>
      <t>Unblock</t>
    </r>
    <r>
      <rPr>
        <sz val="12"/>
        <color theme="1"/>
        <rFont val="Amasis MT Pro"/>
        <family val="1"/>
      </rPr>
      <t>, if the option is available</t>
    </r>
  </si>
  <si>
    <r>
      <t xml:space="preserve">3. Open the workbook again and </t>
    </r>
    <r>
      <rPr>
        <b/>
        <sz val="12"/>
        <color theme="1"/>
        <rFont val="Amasis MT Pro"/>
        <family val="1"/>
      </rPr>
      <t>enable macros</t>
    </r>
    <r>
      <rPr>
        <sz val="12"/>
        <color theme="1"/>
        <rFont val="Amasis MT Pro"/>
        <family val="1"/>
      </rPr>
      <t xml:space="preserve"> when prompted</t>
    </r>
  </si>
  <si>
    <r>
      <t xml:space="preserve">📅 </t>
    </r>
    <r>
      <rPr>
        <b/>
        <sz val="12"/>
        <color theme="1"/>
        <rFont val="Amasis MT Pro"/>
        <family val="1"/>
      </rPr>
      <t>April 16, 2025 (3:00 PM)</t>
    </r>
  </si>
  <si>
    <r>
      <t xml:space="preserve">🕒 </t>
    </r>
    <r>
      <rPr>
        <b/>
        <sz val="12"/>
        <color theme="1"/>
        <rFont val="Amasis MT Pro"/>
        <family val="1"/>
      </rPr>
      <t>to April 26, 2025 (3:00 PM)</t>
    </r>
  </si>
  <si>
    <r>
      <t xml:space="preserve">This Excel workbook has been created as part of a </t>
    </r>
    <r>
      <rPr>
        <b/>
        <sz val="12"/>
        <color theme="1"/>
        <rFont val="Amasis MT Pro"/>
        <family val="1"/>
      </rPr>
      <t>bootcamp session</t>
    </r>
    <r>
      <rPr>
        <sz val="12"/>
        <color theme="1"/>
        <rFont val="Amasis MT Pro"/>
        <family val="1"/>
      </rPr>
      <t xml:space="preserve"> for students of </t>
    </r>
  </si>
  <si>
    <t>MTSU's Actuarial Mathematics Student Association. It is designed to help students:</t>
  </si>
  <si>
    <t>This workbook is a learning tool. Take time to go through each example carefully and understand the logic behind the formulas.</t>
  </si>
  <si>
    <t xml:space="preserve"> You're encouraged to build your own templates based on these examples to prepare for real actuarial work!</t>
  </si>
  <si>
    <r>
      <t xml:space="preserve">This workbook is intended for use during the </t>
    </r>
    <r>
      <rPr>
        <b/>
        <sz val="12"/>
        <color theme="1"/>
        <rFont val="Amasis MT Pro"/>
        <family val="1"/>
      </rPr>
      <t>Actuarial Bootcamp</t>
    </r>
    <r>
      <rPr>
        <sz val="12"/>
        <color theme="1"/>
        <rFont val="Amasis MT Pro"/>
        <family val="1"/>
      </rPr>
      <t xml:space="preserve"> and you will have </t>
    </r>
    <r>
      <rPr>
        <b/>
        <sz val="12"/>
        <color rgb="FFFF0000"/>
        <rFont val="Amasis MT Pro"/>
        <family val="1"/>
      </rPr>
      <t>Limited Access</t>
    </r>
    <r>
      <rPr>
        <sz val="12"/>
        <color theme="1"/>
        <rFont val="Amasis MT Pro"/>
        <family val="1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</si>
</sst>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Amasis MT Pro"/>
      <family val="1"/>
    </font>
    <font>
      <b/>
      <sz val="12"/>
      <color rgb="FF002060"/>
      <name val="Amasis MT Pro"/>
      <family val="1"/>
    </font>
    <font>
      <sz val="12"/>
      <color rgb="FF002060"/>
      <name val="Amasis MT Pro"/>
      <family val="1"/>
    </font>
    <font>
      <sz val="12"/>
      <color rgb="FF00B0F0"/>
      <name val="Amasis MT Pro"/>
      <family val="1"/>
    </font>
    <font>
      <b/>
      <sz val="16"/>
      <color rgb="FF002060"/>
      <name val="Amasis MT Pro"/>
      <family val="1"/>
    </font>
    <font>
      <b/>
      <sz val="12"/>
      <color theme="1"/>
      <name val="Amasis MT Pro"/>
      <family val="1"/>
    </font>
    <font>
      <b/>
      <sz val="18"/>
      <color rgb="FF002060"/>
      <name val="Amasis MT Pro"/>
      <family val="1"/>
    </font>
    <font>
      <sz val="12"/>
      <color rgb="FF0070C0"/>
      <name val="Amasis MT Pro"/>
      <family val="1"/>
    </font>
    <font>
      <sz val="12"/>
      <color rgb="FFFF0000"/>
      <name val="Amasis MT Pro"/>
      <family val="1"/>
    </font>
    <font>
      <sz val="12"/>
      <color rgb="FF00B0F0"/>
      <name val="Times New Roman"/>
      <family val="2"/>
    </font>
    <font>
      <sz val="12"/>
      <color theme="5"/>
      <name val="Amasis MT Pro"/>
      <family val="1"/>
    </font>
    <font>
      <sz val="12"/>
      <color theme="6"/>
      <name val="Amasis MT Pro"/>
      <family val="1"/>
    </font>
    <font>
      <sz val="12"/>
      <color theme="9" tint="-0.249977111117893"/>
      <name val="Amasis MT Pro"/>
      <family val="1"/>
    </font>
    <font>
      <u/>
      <sz val="12"/>
      <color theme="10"/>
      <name val="Times New Roman"/>
      <family val="2"/>
    </font>
    <font>
      <b/>
      <sz val="12"/>
      <color rgb="FFFF0000"/>
      <name val="Amasis MT Pro"/>
      <family val="1"/>
    </font>
    <font>
      <b/>
      <sz val="13.5"/>
      <color rgb="FF002060"/>
      <name val="Amasis MT Pro"/>
      <family val="1"/>
    </font>
    <font>
      <b/>
      <sz val="12"/>
      <color rgb="FF000F55"/>
      <name val="Amasis MT Pro"/>
      <family val="1"/>
    </font>
    <font>
      <sz val="12"/>
      <color rgb="FF000F55"/>
      <name val="Amasis MT Pro"/>
      <family val="1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0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Continuous"/>
    </xf>
    <xf numFmtId="0" fontId="3" fillId="2" borderId="1" xfId="0" applyFont="1" applyFill="1" applyBorder="1"/>
    <xf numFmtId="0" fontId="3" fillId="2" borderId="10" xfId="0" applyFont="1" applyFill="1" applyBorder="1" applyAlignment="1">
      <alignment horizontal="centerContinuous"/>
    </xf>
    <xf numFmtId="0" fontId="2" fillId="2" borderId="12" xfId="0" applyFont="1" applyFill="1" applyBorder="1" applyAlignment="1">
      <alignment horizontal="centerContinuous"/>
    </xf>
    <xf numFmtId="0" fontId="2" fillId="0" borderId="13" xfId="0" applyFont="1" applyBorder="1"/>
    <xf numFmtId="0" fontId="4" fillId="0" borderId="13" xfId="0" applyFont="1" applyBorder="1"/>
    <xf numFmtId="44" fontId="2" fillId="0" borderId="13" xfId="1" applyFont="1" applyBorder="1"/>
    <xf numFmtId="0" fontId="2" fillId="0" borderId="15" xfId="0" applyFont="1" applyBorder="1"/>
    <xf numFmtId="0" fontId="5" fillId="0" borderId="4" xfId="0" applyFont="1" applyBorder="1"/>
    <xf numFmtId="0" fontId="2" fillId="0" borderId="6" xfId="0" applyFont="1" applyBorder="1"/>
    <xf numFmtId="0" fontId="2" fillId="0" borderId="14" xfId="0" applyFont="1" applyBorder="1"/>
    <xf numFmtId="0" fontId="2" fillId="0" borderId="9" xfId="0" applyFont="1" applyBorder="1"/>
    <xf numFmtId="0" fontId="4" fillId="0" borderId="14" xfId="0" applyFont="1" applyBorder="1"/>
    <xf numFmtId="44" fontId="2" fillId="0" borderId="14" xfId="1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" xfId="0" applyFont="1" applyBorder="1"/>
    <xf numFmtId="0" fontId="0" fillId="0" borderId="9" xfId="0" applyBorder="1"/>
    <xf numFmtId="0" fontId="6" fillId="0" borderId="0" xfId="0" applyFont="1" applyAlignment="1">
      <alignment horizontal="centerContinuous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centerContinuous"/>
    </xf>
    <xf numFmtId="0" fontId="3" fillId="0" borderId="10" xfId="0" applyFont="1" applyBorder="1" applyAlignment="1">
      <alignment horizontal="centerContinuous"/>
    </xf>
    <xf numFmtId="0" fontId="3" fillId="0" borderId="12" xfId="0" applyFont="1" applyBorder="1" applyAlignment="1">
      <alignment horizontal="centerContinuous"/>
    </xf>
    <xf numFmtId="0" fontId="5" fillId="0" borderId="6" xfId="0" applyFont="1" applyBorder="1"/>
    <xf numFmtId="0" fontId="8" fillId="0" borderId="10" xfId="0" applyFont="1" applyBorder="1" applyAlignment="1">
      <alignment horizontal="centerContinuous"/>
    </xf>
    <xf numFmtId="0" fontId="8" fillId="0" borderId="11" xfId="0" applyFont="1" applyBorder="1" applyAlignment="1">
      <alignment horizontal="centerContinuous"/>
    </xf>
    <xf numFmtId="0" fontId="8" fillId="0" borderId="12" xfId="0" applyFont="1" applyBorder="1" applyAlignment="1">
      <alignment horizontal="centerContinuous"/>
    </xf>
    <xf numFmtId="0" fontId="2" fillId="0" borderId="11" xfId="0" applyFont="1" applyBorder="1" applyAlignment="1">
      <alignment horizontal="centerContinuous"/>
    </xf>
    <xf numFmtId="2" fontId="9" fillId="0" borderId="0" xfId="0" applyNumberFormat="1" applyFont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2" fillId="0" borderId="6" xfId="0" applyFont="1" applyBorder="1" applyAlignment="1">
      <alignment horizontal="centerContinuous"/>
    </xf>
    <xf numFmtId="0" fontId="2" fillId="0" borderId="5" xfId="0" applyFont="1" applyBorder="1" applyAlignment="1">
      <alignment horizontal="left" vertical="center" indent="1"/>
    </xf>
    <xf numFmtId="0" fontId="2" fillId="0" borderId="7" xfId="0" applyFont="1" applyBorder="1" applyAlignment="1">
      <alignment horizontal="left" vertical="center" indent="1"/>
    </xf>
    <xf numFmtId="0" fontId="3" fillId="2" borderId="13" xfId="0" applyFont="1" applyFill="1" applyBorder="1"/>
    <xf numFmtId="0" fontId="2" fillId="2" borderId="11" xfId="0" applyFont="1" applyFill="1" applyBorder="1" applyAlignment="1">
      <alignment horizontal="centerContinuous"/>
    </xf>
    <xf numFmtId="0" fontId="3" fillId="2" borderId="11" xfId="0" applyFont="1" applyFill="1" applyBorder="1" applyAlignment="1">
      <alignment horizontal="centerContinuous"/>
    </xf>
    <xf numFmtId="0" fontId="3" fillId="2" borderId="12" xfId="0" applyFont="1" applyFill="1" applyBorder="1" applyAlignment="1">
      <alignment horizontal="centerContinuous"/>
    </xf>
    <xf numFmtId="0" fontId="3" fillId="0" borderId="1" xfId="0" applyFont="1" applyBorder="1"/>
    <xf numFmtId="0" fontId="3" fillId="0" borderId="11" xfId="0" applyFont="1" applyBorder="1" applyAlignment="1">
      <alignment horizontal="centerContinuous"/>
    </xf>
    <xf numFmtId="0" fontId="7" fillId="0" borderId="6" xfId="0" applyFont="1" applyBorder="1"/>
    <xf numFmtId="0" fontId="7" fillId="0" borderId="8" xfId="0" applyFont="1" applyBorder="1"/>
    <xf numFmtId="0" fontId="7" fillId="0" borderId="9" xfId="0" applyFont="1" applyBorder="1"/>
    <xf numFmtId="0" fontId="7" fillId="0" borderId="13" xfId="0" applyFont="1" applyBorder="1"/>
    <xf numFmtId="0" fontId="10" fillId="0" borderId="6" xfId="0" applyFont="1" applyBorder="1"/>
    <xf numFmtId="0" fontId="10" fillId="0" borderId="0" xfId="0" applyFont="1"/>
    <xf numFmtId="0" fontId="7" fillId="0" borderId="14" xfId="0" applyFont="1" applyBorder="1"/>
    <xf numFmtId="0" fontId="10" fillId="0" borderId="8" xfId="0" applyFont="1" applyBorder="1"/>
    <xf numFmtId="0" fontId="10" fillId="0" borderId="9" xfId="0" applyFont="1" applyBorder="1"/>
    <xf numFmtId="44" fontId="2" fillId="0" borderId="0" xfId="0" applyNumberFormat="1" applyFont="1"/>
    <xf numFmtId="44" fontId="11" fillId="0" borderId="6" xfId="1" applyFont="1" applyBorder="1"/>
    <xf numFmtId="44" fontId="11" fillId="0" borderId="9" xfId="1" applyFont="1" applyBorder="1"/>
    <xf numFmtId="0" fontId="3" fillId="0" borderId="0" xfId="0" applyFont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0" xfId="0" applyFont="1"/>
    <xf numFmtId="0" fontId="3" fillId="0" borderId="0" xfId="0" applyFont="1" applyAlignment="1">
      <alignment horizontal="centerContinuous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44" fontId="2" fillId="0" borderId="6" xfId="0" applyNumberFormat="1" applyFont="1" applyBorder="1"/>
    <xf numFmtId="44" fontId="2" fillId="0" borderId="8" xfId="0" applyNumberFormat="1" applyFont="1" applyBorder="1"/>
    <xf numFmtId="44" fontId="2" fillId="0" borderId="9" xfId="0" applyNumberFormat="1" applyFont="1" applyBorder="1"/>
    <xf numFmtId="0" fontId="2" fillId="0" borderId="2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4" xfId="0" applyFont="1" applyBorder="1" applyAlignment="1">
      <alignment horizontal="centerContinuous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2" fillId="0" borderId="13" xfId="0" applyNumberFormat="1" applyFont="1" applyBorder="1"/>
    <xf numFmtId="44" fontId="2" fillId="0" borderId="14" xfId="0" applyNumberFormat="1" applyFont="1" applyBorder="1"/>
    <xf numFmtId="2" fontId="2" fillId="0" borderId="13" xfId="0" applyNumberFormat="1" applyFont="1" applyBorder="1"/>
    <xf numFmtId="44" fontId="5" fillId="0" borderId="4" xfId="1" applyFont="1" applyBorder="1"/>
    <xf numFmtId="9" fontId="5" fillId="0" borderId="6" xfId="2" applyFont="1" applyBorder="1"/>
    <xf numFmtId="0" fontId="3" fillId="0" borderId="0" xfId="0" applyFont="1"/>
    <xf numFmtId="2" fontId="2" fillId="0" borderId="14" xfId="0" applyNumberFormat="1" applyFont="1" applyBorder="1"/>
    <xf numFmtId="14" fontId="5" fillId="0" borderId="6" xfId="0" applyNumberFormat="1" applyFont="1" applyBorder="1"/>
    <xf numFmtId="14" fontId="7" fillId="0" borderId="9" xfId="0" applyNumberFormat="1" applyFont="1" applyBorder="1"/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indent="1"/>
    </xf>
    <xf numFmtId="0" fontId="17" fillId="0" borderId="0" xfId="0" applyFont="1" applyAlignment="1">
      <alignment vertical="center"/>
    </xf>
    <xf numFmtId="0" fontId="18" fillId="0" borderId="15" xfId="0" applyFont="1" applyBorder="1"/>
    <xf numFmtId="0" fontId="18" fillId="0" borderId="13" xfId="0" applyFont="1" applyBorder="1"/>
    <xf numFmtId="0" fontId="18" fillId="0" borderId="14" xfId="0" applyFont="1" applyBorder="1"/>
    <xf numFmtId="0" fontId="18" fillId="0" borderId="10" xfId="0" applyFont="1" applyBorder="1" applyAlignment="1">
      <alignment horizontal="centerContinuous"/>
    </xf>
    <xf numFmtId="0" fontId="18" fillId="0" borderId="11" xfId="0" applyFont="1" applyBorder="1" applyAlignment="1">
      <alignment horizontal="centerContinuous"/>
    </xf>
    <xf numFmtId="0" fontId="18" fillId="0" borderId="12" xfId="0" applyFont="1" applyBorder="1" applyAlignment="1">
      <alignment horizontal="centerContinuous"/>
    </xf>
    <xf numFmtId="0" fontId="19" fillId="0" borderId="1" xfId="0" applyFont="1" applyBorder="1"/>
    <xf numFmtId="0" fontId="15" fillId="0" borderId="1" xfId="3" applyBorder="1" applyAlignment="1">
      <alignment horizontal="center" vertical="center"/>
    </xf>
    <xf numFmtId="0" fontId="6" fillId="0" borderId="6" xfId="0" applyFont="1" applyBorder="1" applyAlignment="1">
      <alignment horizontal="center" vertical="center" textRotation="90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0F55"/>
      <color rgb="FF4F6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1.3 LookUps'!A1"/><Relationship Id="rId2" Type="http://schemas.openxmlformats.org/officeDocument/2006/relationships/hyperlink" Target="#'1.2 Sum if'!A1"/><Relationship Id="rId1" Type="http://schemas.openxmlformats.org/officeDocument/2006/relationships/hyperlink" Target="#'1.1 If'!A1"/><Relationship Id="rId5" Type="http://schemas.openxmlformats.org/officeDocument/2006/relationships/hyperlink" Target="#'1.5 Goal Seek'!A1"/><Relationship Id="rId4" Type="http://schemas.openxmlformats.org/officeDocument/2006/relationships/hyperlink" Target="#'1.4 Date function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7</xdr:row>
      <xdr:rowOff>19050</xdr:rowOff>
    </xdr:from>
    <xdr:to>
      <xdr:col>6</xdr:col>
      <xdr:colOff>0</xdr:colOff>
      <xdr:row>7</xdr:row>
      <xdr:rowOff>184150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3E8F8-AEA9-9328-C905-2627B08E0D29}"/>
            </a:ext>
          </a:extLst>
        </xdr:cNvPr>
        <xdr:cNvSpPr/>
      </xdr:nvSpPr>
      <xdr:spPr>
        <a:xfrm>
          <a:off x="4038600" y="139700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1.1</a:t>
          </a:r>
        </a:p>
      </xdr:txBody>
    </xdr:sp>
    <xdr:clientData/>
  </xdr:twoCellAnchor>
  <xdr:twoCellAnchor>
    <xdr:from>
      <xdr:col>5</xdr:col>
      <xdr:colOff>19050</xdr:colOff>
      <xdr:row>8</xdr:row>
      <xdr:rowOff>19050</xdr:rowOff>
    </xdr:from>
    <xdr:to>
      <xdr:col>6</xdr:col>
      <xdr:colOff>0</xdr:colOff>
      <xdr:row>8</xdr:row>
      <xdr:rowOff>184150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24448E-62D7-410D-965D-8650B9595566}"/>
            </a:ext>
          </a:extLst>
        </xdr:cNvPr>
        <xdr:cNvSpPr/>
      </xdr:nvSpPr>
      <xdr:spPr>
        <a:xfrm>
          <a:off x="4038600" y="139700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1.2</a:t>
          </a:r>
        </a:p>
      </xdr:txBody>
    </xdr:sp>
    <xdr:clientData/>
  </xdr:twoCellAnchor>
  <xdr:twoCellAnchor>
    <xdr:from>
      <xdr:col>5</xdr:col>
      <xdr:colOff>19050</xdr:colOff>
      <xdr:row>9</xdr:row>
      <xdr:rowOff>19050</xdr:rowOff>
    </xdr:from>
    <xdr:to>
      <xdr:col>6</xdr:col>
      <xdr:colOff>0</xdr:colOff>
      <xdr:row>9</xdr:row>
      <xdr:rowOff>184150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85F6561-6F3F-4A70-AFA1-676FD7362436}"/>
            </a:ext>
          </a:extLst>
        </xdr:cNvPr>
        <xdr:cNvSpPr/>
      </xdr:nvSpPr>
      <xdr:spPr>
        <a:xfrm>
          <a:off x="4038600" y="159385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1.3</a:t>
          </a:r>
        </a:p>
      </xdr:txBody>
    </xdr:sp>
    <xdr:clientData/>
  </xdr:twoCellAnchor>
  <xdr:twoCellAnchor>
    <xdr:from>
      <xdr:col>5</xdr:col>
      <xdr:colOff>19050</xdr:colOff>
      <xdr:row>10</xdr:row>
      <xdr:rowOff>19050</xdr:rowOff>
    </xdr:from>
    <xdr:to>
      <xdr:col>6</xdr:col>
      <xdr:colOff>0</xdr:colOff>
      <xdr:row>10</xdr:row>
      <xdr:rowOff>184150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F22E16-CDDA-45C0-A332-5CE252C51179}"/>
            </a:ext>
          </a:extLst>
        </xdr:cNvPr>
        <xdr:cNvSpPr/>
      </xdr:nvSpPr>
      <xdr:spPr>
        <a:xfrm>
          <a:off x="4038600" y="179070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1.4</a:t>
          </a:r>
        </a:p>
      </xdr:txBody>
    </xdr:sp>
    <xdr:clientData/>
  </xdr:twoCellAnchor>
  <xdr:twoCellAnchor>
    <xdr:from>
      <xdr:col>5</xdr:col>
      <xdr:colOff>19050</xdr:colOff>
      <xdr:row>11</xdr:row>
      <xdr:rowOff>19050</xdr:rowOff>
    </xdr:from>
    <xdr:to>
      <xdr:col>6</xdr:col>
      <xdr:colOff>0</xdr:colOff>
      <xdr:row>11</xdr:row>
      <xdr:rowOff>184150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13A99A-1B90-4D96-BFFC-944C0105F41B}"/>
            </a:ext>
          </a:extLst>
        </xdr:cNvPr>
        <xdr:cNvSpPr/>
      </xdr:nvSpPr>
      <xdr:spPr>
        <a:xfrm>
          <a:off x="4038600" y="1987550"/>
          <a:ext cx="1098550" cy="1651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1.5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BFB33-2C5A-4217-AC14-7714D987D394}">
  <sheetPr codeName="Sheet2"/>
  <dimension ref="A1:C32"/>
  <sheetViews>
    <sheetView showGridLines="0" tabSelected="1" zoomScale="94" zoomScaleNormal="94" workbookViewId="0">
      <selection activeCell="F7" sqref="F7"/>
    </sheetView>
  </sheetViews>
  <sheetFormatPr defaultRowHeight="16" x14ac:dyDescent="0.4"/>
  <cols>
    <col min="1" max="1" width="12.6640625" style="1" customWidth="1"/>
    <col min="2" max="2" width="36.5" style="1" customWidth="1"/>
    <col min="3" max="16384" width="8.6640625" style="1"/>
  </cols>
  <sheetData>
    <row r="1" spans="1:3" x14ac:dyDescent="0.4">
      <c r="A1" s="93" t="s">
        <v>75</v>
      </c>
      <c r="B1" s="16" t="s">
        <v>76</v>
      </c>
      <c r="C1" s="18"/>
    </row>
    <row r="2" spans="1:3" x14ac:dyDescent="0.4">
      <c r="A2" s="94" t="s">
        <v>77</v>
      </c>
      <c r="B2" s="19" t="s">
        <v>78</v>
      </c>
      <c r="C2" s="11"/>
    </row>
    <row r="3" spans="1:3" x14ac:dyDescent="0.4">
      <c r="A3" s="94" t="s">
        <v>79</v>
      </c>
      <c r="B3" s="19" t="s">
        <v>80</v>
      </c>
      <c r="C3" s="11"/>
    </row>
    <row r="4" spans="1:3" x14ac:dyDescent="0.4">
      <c r="A4" s="94" t="s">
        <v>81</v>
      </c>
      <c r="B4" s="19" t="s">
        <v>82</v>
      </c>
      <c r="C4" s="11"/>
    </row>
    <row r="5" spans="1:3" ht="16.5" thickBot="1" x14ac:dyDescent="0.45">
      <c r="A5" s="95" t="s">
        <v>83</v>
      </c>
      <c r="B5" s="20" t="s">
        <v>84</v>
      </c>
      <c r="C5" s="13"/>
    </row>
    <row r="7" spans="1:3" x14ac:dyDescent="0.4">
      <c r="A7" s="81" t="s">
        <v>85</v>
      </c>
    </row>
    <row r="8" spans="1:3" x14ac:dyDescent="0.4">
      <c r="A8" s="91" t="s">
        <v>103</v>
      </c>
    </row>
    <row r="9" spans="1:3" x14ac:dyDescent="0.4">
      <c r="A9" s="90" t="s">
        <v>104</v>
      </c>
    </row>
    <row r="10" spans="1:3" x14ac:dyDescent="0.4">
      <c r="A10" s="90" t="s">
        <v>96</v>
      </c>
    </row>
    <row r="11" spans="1:3" x14ac:dyDescent="0.4">
      <c r="A11" s="90" t="s">
        <v>97</v>
      </c>
    </row>
    <row r="12" spans="1:3" x14ac:dyDescent="0.4">
      <c r="A12" s="90"/>
    </row>
    <row r="13" spans="1:3" x14ac:dyDescent="0.4">
      <c r="A13" s="81" t="s">
        <v>86</v>
      </c>
    </row>
    <row r="14" spans="1:3" x14ac:dyDescent="0.4">
      <c r="A14" s="91" t="s">
        <v>98</v>
      </c>
    </row>
    <row r="15" spans="1:3" x14ac:dyDescent="0.4">
      <c r="A15" s="91" t="s">
        <v>87</v>
      </c>
    </row>
    <row r="16" spans="1:3" x14ac:dyDescent="0.4">
      <c r="A16" s="90" t="s">
        <v>88</v>
      </c>
    </row>
    <row r="17" spans="1:1" x14ac:dyDescent="0.4">
      <c r="A17" s="90" t="s">
        <v>99</v>
      </c>
    </row>
    <row r="18" spans="1:1" x14ac:dyDescent="0.4">
      <c r="A18" s="90" t="s">
        <v>100</v>
      </c>
    </row>
    <row r="19" spans="1:1" s="91" customFormat="1" x14ac:dyDescent="0.4">
      <c r="A19" s="91" t="s">
        <v>89</v>
      </c>
    </row>
    <row r="21" spans="1:1" ht="17.5" x14ac:dyDescent="0.4">
      <c r="A21" s="92" t="s">
        <v>90</v>
      </c>
    </row>
    <row r="22" spans="1:1" x14ac:dyDescent="0.4">
      <c r="A22" s="91" t="s">
        <v>107</v>
      </c>
    </row>
    <row r="23" spans="1:1" x14ac:dyDescent="0.4">
      <c r="A23" s="90" t="s">
        <v>101</v>
      </c>
    </row>
    <row r="24" spans="1:1" x14ac:dyDescent="0.4">
      <c r="A24" s="90" t="s">
        <v>102</v>
      </c>
    </row>
    <row r="25" spans="1:1" x14ac:dyDescent="0.4">
      <c r="A25" s="91" t="s">
        <v>91</v>
      </c>
    </row>
    <row r="26" spans="1:1" x14ac:dyDescent="0.4">
      <c r="A26" s="90" t="s">
        <v>92</v>
      </c>
    </row>
    <row r="27" spans="1:1" x14ac:dyDescent="0.4">
      <c r="A27" s="90" t="s">
        <v>93</v>
      </c>
    </row>
    <row r="28" spans="1:1" x14ac:dyDescent="0.4">
      <c r="A28" s="90" t="s">
        <v>94</v>
      </c>
    </row>
    <row r="30" spans="1:1" ht="17.5" x14ac:dyDescent="0.4">
      <c r="A30" s="92" t="s">
        <v>95</v>
      </c>
    </row>
    <row r="31" spans="1:1" x14ac:dyDescent="0.4">
      <c r="A31" s="1" t="s">
        <v>105</v>
      </c>
    </row>
    <row r="32" spans="1:1" x14ac:dyDescent="0.4">
      <c r="A32" s="1" t="s">
        <v>106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AE1E-F5C4-4DB3-A8F8-B184C9EBEE2F}">
  <sheetPr codeName="Sheet1"/>
  <dimension ref="D5:F12"/>
  <sheetViews>
    <sheetView showGridLines="0" topLeftCell="D6" zoomScale="140" zoomScaleNormal="140" workbookViewId="0">
      <selection activeCell="E10" sqref="E10"/>
    </sheetView>
  </sheetViews>
  <sheetFormatPr defaultColWidth="0" defaultRowHeight="16" zeroHeight="1" x14ac:dyDescent="0.4"/>
  <cols>
    <col min="1" max="3" width="8.6640625" style="1" hidden="1" customWidth="1"/>
    <col min="4" max="4" width="8.6640625" style="1" customWidth="1"/>
    <col min="5" max="5" width="18.08203125" style="1" customWidth="1"/>
    <col min="6" max="6" width="14.6640625" style="1" customWidth="1"/>
    <col min="7" max="7" width="8.6640625" style="1" hidden="1" customWidth="1"/>
    <col min="8" max="16384" width="8.6640625" style="1" hidden="1"/>
  </cols>
  <sheetData>
    <row r="5" spans="4:6" ht="16.5" hidden="1" thickBot="1" x14ac:dyDescent="0.45"/>
    <row r="6" spans="4:6" ht="16.5" thickBot="1" x14ac:dyDescent="0.45">
      <c r="D6" s="96" t="s">
        <v>66</v>
      </c>
      <c r="E6" s="97"/>
      <c r="F6" s="98"/>
    </row>
    <row r="7" spans="4:6" ht="16.5" thickBot="1" x14ac:dyDescent="0.45">
      <c r="D7" s="99" t="s">
        <v>5</v>
      </c>
      <c r="E7" s="99" t="s">
        <v>67</v>
      </c>
      <c r="F7" s="99" t="s">
        <v>68</v>
      </c>
    </row>
    <row r="8" spans="4:6" x14ac:dyDescent="0.4">
      <c r="D8" s="6">
        <v>1</v>
      </c>
      <c r="E8" s="6" t="s">
        <v>69</v>
      </c>
      <c r="F8" s="6"/>
    </row>
    <row r="9" spans="4:6" x14ac:dyDescent="0.4">
      <c r="D9" s="6">
        <v>2</v>
      </c>
      <c r="E9" s="6" t="s">
        <v>70</v>
      </c>
      <c r="F9" s="6"/>
    </row>
    <row r="10" spans="4:6" x14ac:dyDescent="0.4">
      <c r="D10" s="6">
        <v>3</v>
      </c>
      <c r="E10" s="6" t="s">
        <v>71</v>
      </c>
      <c r="F10" s="6"/>
    </row>
    <row r="11" spans="4:6" x14ac:dyDescent="0.4">
      <c r="D11" s="6">
        <v>4</v>
      </c>
      <c r="E11" s="6" t="s">
        <v>72</v>
      </c>
      <c r="F11" s="6"/>
    </row>
    <row r="12" spans="4:6" ht="16.5" thickBot="1" x14ac:dyDescent="0.45">
      <c r="D12" s="12">
        <v>5</v>
      </c>
      <c r="E12" s="12" t="s">
        <v>73</v>
      </c>
      <c r="F12" s="1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417E3-1BC8-4F78-8795-61F773D5394C}">
  <sheetPr codeName="Sheet3"/>
  <dimension ref="A1:L14"/>
  <sheetViews>
    <sheetView showGridLines="0" workbookViewId="0"/>
  </sheetViews>
  <sheetFormatPr defaultRowHeight="16" x14ac:dyDescent="0.4"/>
  <cols>
    <col min="1" max="1" width="20.83203125" style="1" customWidth="1"/>
    <col min="2" max="2" width="20.25" style="1" customWidth="1"/>
    <col min="3" max="9" width="8.6640625" style="1"/>
    <col min="10" max="10" width="11.33203125" style="1" customWidth="1"/>
    <col min="11" max="11" width="10.1640625" style="1" customWidth="1"/>
    <col min="12" max="16384" width="8.6640625" style="1"/>
  </cols>
  <sheetData>
    <row r="1" spans="1:12" ht="24.5" thickBot="1" x14ac:dyDescent="0.65">
      <c r="A1" s="100" t="s">
        <v>74</v>
      </c>
      <c r="B1" s="33" t="s">
        <v>1</v>
      </c>
      <c r="C1" s="34"/>
      <c r="D1" s="34"/>
      <c r="E1" s="34"/>
      <c r="F1" s="34"/>
      <c r="G1" s="35"/>
      <c r="I1" s="33" t="s">
        <v>4</v>
      </c>
      <c r="J1" s="36"/>
      <c r="K1" s="36"/>
      <c r="L1" s="29"/>
    </row>
    <row r="2" spans="1:12" x14ac:dyDescent="0.4">
      <c r="B2" s="19" t="s">
        <v>29</v>
      </c>
      <c r="G2" s="11"/>
      <c r="I2" s="16" t="s">
        <v>2</v>
      </c>
      <c r="J2" s="18"/>
      <c r="K2" s="37">
        <v>1000</v>
      </c>
      <c r="L2" s="38"/>
    </row>
    <row r="3" spans="1:12" x14ac:dyDescent="0.4">
      <c r="B3" s="19"/>
      <c r="G3" s="11"/>
      <c r="I3" s="19" t="s">
        <v>3</v>
      </c>
      <c r="J3" s="11"/>
      <c r="K3" s="2"/>
      <c r="L3" s="39"/>
    </row>
    <row r="4" spans="1:12" x14ac:dyDescent="0.4">
      <c r="B4" s="19" t="s">
        <v>0</v>
      </c>
      <c r="G4" s="11"/>
      <c r="I4" s="19"/>
      <c r="J4" s="11"/>
      <c r="L4" s="11"/>
    </row>
    <row r="5" spans="1:12" ht="16.5" thickBot="1" x14ac:dyDescent="0.45">
      <c r="B5" s="40"/>
      <c r="G5" s="11"/>
      <c r="I5" s="20"/>
      <c r="J5" s="13"/>
      <c r="K5" s="21"/>
      <c r="L5" s="13"/>
    </row>
    <row r="6" spans="1:12" x14ac:dyDescent="0.4">
      <c r="B6" s="40" t="s">
        <v>30</v>
      </c>
      <c r="G6" s="11"/>
    </row>
    <row r="7" spans="1:12" x14ac:dyDescent="0.4">
      <c r="B7" s="40"/>
      <c r="G7" s="11"/>
    </row>
    <row r="8" spans="1:12" x14ac:dyDescent="0.4">
      <c r="B8" s="40" t="s">
        <v>31</v>
      </c>
      <c r="G8" s="11"/>
    </row>
    <row r="9" spans="1:12" x14ac:dyDescent="0.4">
      <c r="B9" s="40"/>
      <c r="G9" s="11"/>
    </row>
    <row r="10" spans="1:12" x14ac:dyDescent="0.4">
      <c r="B10" s="40" t="s">
        <v>32</v>
      </c>
      <c r="G10" s="11"/>
    </row>
    <row r="11" spans="1:12" x14ac:dyDescent="0.4">
      <c r="B11" s="40"/>
      <c r="G11" s="11"/>
    </row>
    <row r="12" spans="1:12" x14ac:dyDescent="0.4">
      <c r="B12" s="40" t="s">
        <v>33</v>
      </c>
      <c r="G12" s="11"/>
    </row>
    <row r="13" spans="1:12" x14ac:dyDescent="0.4">
      <c r="B13" s="40"/>
      <c r="G13" s="11"/>
    </row>
    <row r="14" spans="1:12" ht="16.5" thickBot="1" x14ac:dyDescent="0.45">
      <c r="B14" s="41" t="s">
        <v>34</v>
      </c>
      <c r="C14" s="21"/>
      <c r="D14" s="21"/>
      <c r="E14" s="21"/>
      <c r="F14" s="21"/>
      <c r="G14" s="13"/>
    </row>
  </sheetData>
  <hyperlinks>
    <hyperlink ref="A1" location="'🗂️ TOC'!A1" display="Return Back" xr:uid="{7FD44A95-3287-4B3C-8FB0-889A3C14A109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6EF85-AFA2-4CBC-9C38-A999B85AC46E}">
  <sheetPr codeName="Sheet4"/>
  <dimension ref="A1:V1001"/>
  <sheetViews>
    <sheetView showGridLines="0" topLeftCell="F1" workbookViewId="0">
      <selection activeCell="H10" sqref="H10"/>
    </sheetView>
  </sheetViews>
  <sheetFormatPr defaultRowHeight="16" x14ac:dyDescent="0.4"/>
  <cols>
    <col min="1" max="1" width="8.6640625" style="1"/>
    <col min="2" max="2" width="14.83203125" style="1" customWidth="1"/>
    <col min="3" max="3" width="15.5" style="1" customWidth="1"/>
    <col min="4" max="4" width="20.33203125" style="1" customWidth="1"/>
    <col min="5" max="5" width="14.83203125" style="1" customWidth="1"/>
    <col min="6" max="6" width="14.5" style="1" customWidth="1"/>
    <col min="7" max="7" width="8.6640625" style="1"/>
    <col min="8" max="8" width="11.6640625" style="1" bestFit="1" customWidth="1"/>
    <col min="9" max="9" width="10.5" style="1" customWidth="1"/>
    <col min="10" max="10" width="21.58203125" style="1" customWidth="1"/>
    <col min="11" max="13" width="8.6640625" style="1"/>
    <col min="14" max="14" width="17.08203125" style="1" customWidth="1"/>
    <col min="15" max="15" width="18.25" style="1" customWidth="1"/>
    <col min="16" max="17" width="8.6640625" style="1"/>
    <col min="18" max="18" width="9.75" style="1" bestFit="1" customWidth="1"/>
    <col min="19" max="16384" width="8.6640625" style="1"/>
  </cols>
  <sheetData>
    <row r="1" spans="1:22" ht="16.5" thickBot="1" x14ac:dyDescent="0.45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G1" s="42"/>
      <c r="I1" s="4" t="s">
        <v>13</v>
      </c>
      <c r="J1" s="29"/>
      <c r="M1" s="4" t="s">
        <v>14</v>
      </c>
      <c r="N1" s="43"/>
      <c r="O1" s="5"/>
      <c r="Q1" s="4" t="s">
        <v>17</v>
      </c>
      <c r="R1" s="44"/>
      <c r="S1" s="44"/>
      <c r="T1" s="44"/>
      <c r="U1" s="44"/>
      <c r="V1" s="45"/>
    </row>
    <row r="2" spans="1:22" ht="16.5" thickBot="1" x14ac:dyDescent="0.45">
      <c r="A2" s="6">
        <v>1</v>
      </c>
      <c r="B2" s="6" t="str">
        <f>"Policy"&amp;A2</f>
        <v>Policy1</v>
      </c>
      <c r="C2" s="7" t="s">
        <v>11</v>
      </c>
      <c r="D2" s="6">
        <v>2021</v>
      </c>
      <c r="E2" s="6">
        <v>2023</v>
      </c>
      <c r="F2" s="8">
        <v>34585</v>
      </c>
      <c r="I2" s="25" t="s">
        <v>7</v>
      </c>
      <c r="J2" s="24" t="s">
        <v>10</v>
      </c>
      <c r="M2" s="25" t="s">
        <v>7</v>
      </c>
      <c r="N2" s="25" t="s">
        <v>8</v>
      </c>
      <c r="O2" s="24" t="s">
        <v>10</v>
      </c>
      <c r="Q2" s="46" t="s">
        <v>15</v>
      </c>
      <c r="R2" s="47" t="s">
        <v>16</v>
      </c>
      <c r="S2" s="47"/>
      <c r="T2" s="47"/>
      <c r="U2" s="47"/>
      <c r="V2" s="31"/>
    </row>
    <row r="3" spans="1:22" ht="16.5" thickBot="1" x14ac:dyDescent="0.45">
      <c r="A3" s="6">
        <f>A2+1</f>
        <v>2</v>
      </c>
      <c r="B3" s="6" t="str">
        <f t="shared" ref="B3:B66" si="0">"Policy"&amp;A3</f>
        <v>Policy2</v>
      </c>
      <c r="C3" s="7" t="s">
        <v>12</v>
      </c>
      <c r="D3" s="6">
        <v>2025</v>
      </c>
      <c r="E3" s="6">
        <v>2026</v>
      </c>
      <c r="F3" s="8">
        <v>1169859</v>
      </c>
      <c r="I3" s="6" t="s">
        <v>11</v>
      </c>
      <c r="J3" s="48"/>
      <c r="M3" s="6" t="s">
        <v>11</v>
      </c>
      <c r="N3" s="6">
        <v>2021</v>
      </c>
      <c r="O3" s="11"/>
      <c r="Q3" s="12"/>
      <c r="R3" s="49">
        <v>1</v>
      </c>
      <c r="S3" s="49">
        <f>R3+1</f>
        <v>2</v>
      </c>
      <c r="T3" s="49">
        <f t="shared" ref="T3:V3" si="1">S3+1</f>
        <v>3</v>
      </c>
      <c r="U3" s="49">
        <f t="shared" si="1"/>
        <v>4</v>
      </c>
      <c r="V3" s="50">
        <f t="shared" si="1"/>
        <v>5</v>
      </c>
    </row>
    <row r="4" spans="1:22" ht="16.5" thickBot="1" x14ac:dyDescent="0.45">
      <c r="A4" s="6">
        <f t="shared" ref="A4:A67" si="2">A3+1</f>
        <v>3</v>
      </c>
      <c r="B4" s="6" t="str">
        <f t="shared" si="0"/>
        <v>Policy3</v>
      </c>
      <c r="C4" s="7" t="s">
        <v>12</v>
      </c>
      <c r="D4" s="6">
        <v>2024</v>
      </c>
      <c r="E4" s="6">
        <v>2026</v>
      </c>
      <c r="F4" s="8">
        <v>4095664</v>
      </c>
      <c r="I4" s="12" t="s">
        <v>12</v>
      </c>
      <c r="J4" s="50"/>
      <c r="M4" s="6" t="s">
        <v>11</v>
      </c>
      <c r="N4" s="6">
        <f>N3+1</f>
        <v>2022</v>
      </c>
      <c r="O4" s="11"/>
      <c r="Q4" s="51">
        <v>2021</v>
      </c>
      <c r="R4" s="16"/>
      <c r="S4" s="17"/>
      <c r="T4" s="17"/>
      <c r="U4" s="17"/>
      <c r="V4" s="18"/>
    </row>
    <row r="5" spans="1:22" x14ac:dyDescent="0.4">
      <c r="A5" s="6">
        <f t="shared" si="2"/>
        <v>4</v>
      </c>
      <c r="B5" s="6" t="str">
        <f t="shared" si="0"/>
        <v>Policy4</v>
      </c>
      <c r="C5" s="7" t="s">
        <v>11</v>
      </c>
      <c r="D5" s="6">
        <v>2025</v>
      </c>
      <c r="E5" s="6">
        <v>2026</v>
      </c>
      <c r="F5" s="8">
        <v>20244</v>
      </c>
      <c r="M5" s="6" t="s">
        <v>11</v>
      </c>
      <c r="N5" s="6">
        <f t="shared" ref="N5:N6" si="3">N4+1</f>
        <v>2023</v>
      </c>
      <c r="O5" s="11"/>
      <c r="Q5" s="51">
        <f t="shared" ref="Q5:Q8" si="4">Q4+1</f>
        <v>2022</v>
      </c>
      <c r="R5" s="19"/>
      <c r="V5" s="52"/>
    </row>
    <row r="6" spans="1:22" x14ac:dyDescent="0.4">
      <c r="A6" s="6">
        <f t="shared" si="2"/>
        <v>5</v>
      </c>
      <c r="B6" s="6" t="str">
        <f t="shared" si="0"/>
        <v>Policy5</v>
      </c>
      <c r="C6" s="7" t="s">
        <v>12</v>
      </c>
      <c r="D6" s="6">
        <v>2021</v>
      </c>
      <c r="E6" s="6">
        <v>2022</v>
      </c>
      <c r="F6" s="8">
        <v>1435082</v>
      </c>
      <c r="M6" s="6" t="s">
        <v>11</v>
      </c>
      <c r="N6" s="6">
        <f t="shared" si="3"/>
        <v>2024</v>
      </c>
      <c r="O6" s="11"/>
      <c r="Q6" s="51">
        <f t="shared" si="4"/>
        <v>2023</v>
      </c>
      <c r="R6" s="19"/>
      <c r="U6" s="53"/>
      <c r="V6" s="52"/>
    </row>
    <row r="7" spans="1:22" x14ac:dyDescent="0.4">
      <c r="A7" s="6">
        <f t="shared" si="2"/>
        <v>6</v>
      </c>
      <c r="B7" s="6" t="str">
        <f t="shared" si="0"/>
        <v>Policy6</v>
      </c>
      <c r="C7" s="7" t="s">
        <v>11</v>
      </c>
      <c r="D7" s="6">
        <v>2023</v>
      </c>
      <c r="E7" s="6">
        <v>2025</v>
      </c>
      <c r="F7" s="8">
        <v>2904</v>
      </c>
      <c r="M7" s="6" t="s">
        <v>11</v>
      </c>
      <c r="N7" s="6">
        <f t="shared" ref="N7" si="5">N6+1</f>
        <v>2025</v>
      </c>
      <c r="O7" s="11"/>
      <c r="Q7" s="51">
        <f t="shared" si="4"/>
        <v>2024</v>
      </c>
      <c r="R7" s="19"/>
      <c r="T7" s="53"/>
      <c r="U7" s="53"/>
      <c r="V7" s="52"/>
    </row>
    <row r="8" spans="1:22" ht="16.5" thickBot="1" x14ac:dyDescent="0.45">
      <c r="A8" s="6">
        <f t="shared" si="2"/>
        <v>7</v>
      </c>
      <c r="B8" s="6" t="str">
        <f t="shared" si="0"/>
        <v>Policy7</v>
      </c>
      <c r="C8" s="7" t="s">
        <v>11</v>
      </c>
      <c r="D8" s="6">
        <v>2022</v>
      </c>
      <c r="E8" s="6">
        <v>2026</v>
      </c>
      <c r="F8" s="8">
        <v>3325</v>
      </c>
      <c r="M8" s="6" t="s">
        <v>12</v>
      </c>
      <c r="N8" s="6">
        <f>N3</f>
        <v>2021</v>
      </c>
      <c r="O8" s="11"/>
      <c r="Q8" s="54">
        <f t="shared" si="4"/>
        <v>2025</v>
      </c>
      <c r="R8" s="20"/>
      <c r="S8" s="55"/>
      <c r="T8" s="55"/>
      <c r="U8" s="55"/>
      <c r="V8" s="56"/>
    </row>
    <row r="9" spans="1:22" ht="16.5" thickBot="1" x14ac:dyDescent="0.45">
      <c r="A9" s="6">
        <f t="shared" si="2"/>
        <v>8</v>
      </c>
      <c r="B9" s="6" t="str">
        <f t="shared" si="0"/>
        <v>Policy8</v>
      </c>
      <c r="C9" s="7" t="s">
        <v>11</v>
      </c>
      <c r="D9" s="6">
        <v>2024</v>
      </c>
      <c r="E9" s="6">
        <v>2026</v>
      </c>
      <c r="F9" s="8">
        <v>8429</v>
      </c>
      <c r="M9" s="6" t="s">
        <v>12</v>
      </c>
      <c r="N9" s="6">
        <f t="shared" ref="N9:N12" si="6">N4</f>
        <v>2022</v>
      </c>
      <c r="O9" s="11"/>
    </row>
    <row r="10" spans="1:22" ht="16.5" thickBot="1" x14ac:dyDescent="0.45">
      <c r="A10" s="6">
        <f t="shared" si="2"/>
        <v>9</v>
      </c>
      <c r="B10" s="6" t="str">
        <f t="shared" si="0"/>
        <v>Policy9</v>
      </c>
      <c r="C10" s="7" t="s">
        <v>12</v>
      </c>
      <c r="D10" s="6">
        <v>2023</v>
      </c>
      <c r="E10" s="6">
        <v>2025</v>
      </c>
      <c r="F10" s="8">
        <v>200043</v>
      </c>
      <c r="H10" s="100" t="s">
        <v>74</v>
      </c>
      <c r="M10" s="6" t="s">
        <v>12</v>
      </c>
      <c r="N10" s="6">
        <f t="shared" si="6"/>
        <v>2023</v>
      </c>
      <c r="O10" s="11"/>
      <c r="Q10" s="1" t="s">
        <v>7</v>
      </c>
    </row>
    <row r="11" spans="1:22" x14ac:dyDescent="0.4">
      <c r="A11" s="6">
        <f t="shared" si="2"/>
        <v>10</v>
      </c>
      <c r="B11" s="6" t="str">
        <f t="shared" si="0"/>
        <v>Policy10</v>
      </c>
      <c r="C11" s="7" t="s">
        <v>12</v>
      </c>
      <c r="D11" s="6">
        <v>2023</v>
      </c>
      <c r="E11" s="6">
        <v>2026</v>
      </c>
      <c r="F11" s="8">
        <v>635963</v>
      </c>
      <c r="M11" s="6" t="s">
        <v>12</v>
      </c>
      <c r="N11" s="6">
        <f t="shared" si="6"/>
        <v>2024</v>
      </c>
      <c r="O11" s="11"/>
    </row>
    <row r="12" spans="1:22" ht="16.5" thickBot="1" x14ac:dyDescent="0.45">
      <c r="A12" s="6">
        <f t="shared" si="2"/>
        <v>11</v>
      </c>
      <c r="B12" s="6" t="str">
        <f t="shared" si="0"/>
        <v>Policy11</v>
      </c>
      <c r="C12" s="7" t="s">
        <v>12</v>
      </c>
      <c r="D12" s="6">
        <v>2022</v>
      </c>
      <c r="E12" s="6">
        <v>2023</v>
      </c>
      <c r="F12" s="8">
        <v>265953</v>
      </c>
      <c r="M12" s="12" t="s">
        <v>12</v>
      </c>
      <c r="N12" s="12">
        <f t="shared" si="6"/>
        <v>2025</v>
      </c>
      <c r="O12" s="13"/>
    </row>
    <row r="13" spans="1:22" x14ac:dyDescent="0.4">
      <c r="A13" s="6">
        <f t="shared" si="2"/>
        <v>12</v>
      </c>
      <c r="B13" s="6" t="str">
        <f t="shared" si="0"/>
        <v>Policy12</v>
      </c>
      <c r="C13" s="7" t="s">
        <v>12</v>
      </c>
      <c r="D13" s="6">
        <v>2023</v>
      </c>
      <c r="E13" s="6">
        <v>2025</v>
      </c>
      <c r="F13" s="8">
        <v>3576582</v>
      </c>
    </row>
    <row r="14" spans="1:22" x14ac:dyDescent="0.4">
      <c r="A14" s="6">
        <f t="shared" si="2"/>
        <v>13</v>
      </c>
      <c r="B14" s="6" t="str">
        <f t="shared" si="0"/>
        <v>Policy13</v>
      </c>
      <c r="C14" s="7" t="s">
        <v>12</v>
      </c>
      <c r="D14" s="6">
        <v>2021</v>
      </c>
      <c r="E14" s="6">
        <v>2024</v>
      </c>
      <c r="F14" s="8">
        <v>2832133</v>
      </c>
    </row>
    <row r="15" spans="1:22" x14ac:dyDescent="0.4">
      <c r="A15" s="6">
        <f t="shared" si="2"/>
        <v>14</v>
      </c>
      <c r="B15" s="6" t="str">
        <f t="shared" si="0"/>
        <v>Policy14</v>
      </c>
      <c r="C15" s="7" t="s">
        <v>11</v>
      </c>
      <c r="D15" s="6">
        <v>2023</v>
      </c>
      <c r="E15" s="6">
        <v>2024</v>
      </c>
      <c r="F15" s="8">
        <v>29153</v>
      </c>
    </row>
    <row r="16" spans="1:22" x14ac:dyDescent="0.4">
      <c r="A16" s="6">
        <f t="shared" si="2"/>
        <v>15</v>
      </c>
      <c r="B16" s="6" t="str">
        <f t="shared" si="0"/>
        <v>Policy15</v>
      </c>
      <c r="C16" s="7" t="s">
        <v>11</v>
      </c>
      <c r="D16" s="6">
        <v>2022</v>
      </c>
      <c r="E16" s="6">
        <v>2024</v>
      </c>
      <c r="F16" s="8">
        <v>22588</v>
      </c>
    </row>
    <row r="17" spans="1:6" x14ac:dyDescent="0.4">
      <c r="A17" s="6">
        <f t="shared" si="2"/>
        <v>16</v>
      </c>
      <c r="B17" s="6" t="str">
        <f t="shared" si="0"/>
        <v>Policy16</v>
      </c>
      <c r="C17" s="7" t="s">
        <v>12</v>
      </c>
      <c r="D17" s="6">
        <v>2023</v>
      </c>
      <c r="E17" s="6">
        <v>2026</v>
      </c>
      <c r="F17" s="8">
        <v>4009757</v>
      </c>
    </row>
    <row r="18" spans="1:6" x14ac:dyDescent="0.4">
      <c r="A18" s="6">
        <f t="shared" si="2"/>
        <v>17</v>
      </c>
      <c r="B18" s="6" t="str">
        <f t="shared" si="0"/>
        <v>Policy17</v>
      </c>
      <c r="C18" s="7" t="s">
        <v>11</v>
      </c>
      <c r="D18" s="6">
        <v>2021</v>
      </c>
      <c r="E18" s="6">
        <v>2022</v>
      </c>
      <c r="F18" s="8">
        <v>8884</v>
      </c>
    </row>
    <row r="19" spans="1:6" x14ac:dyDescent="0.4">
      <c r="A19" s="6">
        <f t="shared" si="2"/>
        <v>18</v>
      </c>
      <c r="B19" s="6" t="str">
        <f t="shared" si="0"/>
        <v>Policy18</v>
      </c>
      <c r="C19" s="7" t="s">
        <v>11</v>
      </c>
      <c r="D19" s="6">
        <v>2022</v>
      </c>
      <c r="E19" s="6">
        <v>2024</v>
      </c>
      <c r="F19" s="8">
        <v>18044</v>
      </c>
    </row>
    <row r="20" spans="1:6" x14ac:dyDescent="0.4">
      <c r="A20" s="6">
        <f t="shared" si="2"/>
        <v>19</v>
      </c>
      <c r="B20" s="6" t="str">
        <f t="shared" si="0"/>
        <v>Policy19</v>
      </c>
      <c r="C20" s="7" t="s">
        <v>11</v>
      </c>
      <c r="D20" s="6">
        <v>2022</v>
      </c>
      <c r="E20" s="6">
        <v>2026</v>
      </c>
      <c r="F20" s="8">
        <v>27358</v>
      </c>
    </row>
    <row r="21" spans="1:6" x14ac:dyDescent="0.4">
      <c r="A21" s="6">
        <f t="shared" si="2"/>
        <v>20</v>
      </c>
      <c r="B21" s="6" t="str">
        <f t="shared" si="0"/>
        <v>Policy20</v>
      </c>
      <c r="C21" s="7" t="s">
        <v>11</v>
      </c>
      <c r="D21" s="6">
        <v>2025</v>
      </c>
      <c r="E21" s="6">
        <v>2026</v>
      </c>
      <c r="F21" s="8">
        <v>36230</v>
      </c>
    </row>
    <row r="22" spans="1:6" x14ac:dyDescent="0.4">
      <c r="A22" s="6">
        <f t="shared" si="2"/>
        <v>21</v>
      </c>
      <c r="B22" s="6" t="str">
        <f t="shared" si="0"/>
        <v>Policy21</v>
      </c>
      <c r="C22" s="7" t="s">
        <v>12</v>
      </c>
      <c r="D22" s="6">
        <v>2025</v>
      </c>
      <c r="E22" s="6">
        <v>2026</v>
      </c>
      <c r="F22" s="8">
        <v>4209439</v>
      </c>
    </row>
    <row r="23" spans="1:6" x14ac:dyDescent="0.4">
      <c r="A23" s="6">
        <f t="shared" si="2"/>
        <v>22</v>
      </c>
      <c r="B23" s="6" t="str">
        <f t="shared" si="0"/>
        <v>Policy22</v>
      </c>
      <c r="C23" s="7" t="s">
        <v>11</v>
      </c>
      <c r="D23" s="6">
        <v>2024</v>
      </c>
      <c r="E23" s="6">
        <v>2026</v>
      </c>
      <c r="F23" s="8">
        <v>36383</v>
      </c>
    </row>
    <row r="24" spans="1:6" x14ac:dyDescent="0.4">
      <c r="A24" s="6">
        <f t="shared" si="2"/>
        <v>23</v>
      </c>
      <c r="B24" s="6" t="str">
        <f t="shared" si="0"/>
        <v>Policy23</v>
      </c>
      <c r="C24" s="7" t="s">
        <v>11</v>
      </c>
      <c r="D24" s="6">
        <v>2021</v>
      </c>
      <c r="E24" s="6">
        <v>2025</v>
      </c>
      <c r="F24" s="8">
        <v>49363</v>
      </c>
    </row>
    <row r="25" spans="1:6" x14ac:dyDescent="0.4">
      <c r="A25" s="6">
        <f t="shared" si="2"/>
        <v>24</v>
      </c>
      <c r="B25" s="6" t="str">
        <f t="shared" si="0"/>
        <v>Policy24</v>
      </c>
      <c r="C25" s="7" t="s">
        <v>12</v>
      </c>
      <c r="D25" s="6">
        <v>2025</v>
      </c>
      <c r="E25" s="6">
        <v>2026</v>
      </c>
      <c r="F25" s="8">
        <v>873170</v>
      </c>
    </row>
    <row r="26" spans="1:6" x14ac:dyDescent="0.4">
      <c r="A26" s="6">
        <f t="shared" si="2"/>
        <v>25</v>
      </c>
      <c r="B26" s="6" t="str">
        <f t="shared" si="0"/>
        <v>Policy25</v>
      </c>
      <c r="C26" s="7" t="s">
        <v>12</v>
      </c>
      <c r="D26" s="6">
        <v>2022</v>
      </c>
      <c r="E26" s="6">
        <v>2025</v>
      </c>
      <c r="F26" s="8">
        <v>2738733</v>
      </c>
    </row>
    <row r="27" spans="1:6" x14ac:dyDescent="0.4">
      <c r="A27" s="6">
        <f t="shared" si="2"/>
        <v>26</v>
      </c>
      <c r="B27" s="6" t="str">
        <f t="shared" si="0"/>
        <v>Policy26</v>
      </c>
      <c r="C27" s="7" t="s">
        <v>12</v>
      </c>
      <c r="D27" s="6">
        <v>2025</v>
      </c>
      <c r="E27" s="6">
        <v>2026</v>
      </c>
      <c r="F27" s="8">
        <v>3680452</v>
      </c>
    </row>
    <row r="28" spans="1:6" x14ac:dyDescent="0.4">
      <c r="A28" s="6">
        <f t="shared" si="2"/>
        <v>27</v>
      </c>
      <c r="B28" s="6" t="str">
        <f t="shared" si="0"/>
        <v>Policy27</v>
      </c>
      <c r="C28" s="7" t="s">
        <v>11</v>
      </c>
      <c r="D28" s="6">
        <v>2021</v>
      </c>
      <c r="E28" s="6">
        <v>2024</v>
      </c>
      <c r="F28" s="8">
        <v>35892</v>
      </c>
    </row>
    <row r="29" spans="1:6" x14ac:dyDescent="0.4">
      <c r="A29" s="6">
        <f t="shared" si="2"/>
        <v>28</v>
      </c>
      <c r="B29" s="6" t="str">
        <f t="shared" si="0"/>
        <v>Policy28</v>
      </c>
      <c r="C29" s="7" t="s">
        <v>11</v>
      </c>
      <c r="D29" s="6">
        <v>2024</v>
      </c>
      <c r="E29" s="6">
        <v>2025</v>
      </c>
      <c r="F29" s="8">
        <v>48234</v>
      </c>
    </row>
    <row r="30" spans="1:6" x14ac:dyDescent="0.4">
      <c r="A30" s="6">
        <f t="shared" si="2"/>
        <v>29</v>
      </c>
      <c r="B30" s="6" t="str">
        <f t="shared" si="0"/>
        <v>Policy29</v>
      </c>
      <c r="C30" s="7" t="s">
        <v>11</v>
      </c>
      <c r="D30" s="6">
        <v>2022</v>
      </c>
      <c r="E30" s="6">
        <v>2024</v>
      </c>
      <c r="F30" s="8">
        <v>47395</v>
      </c>
    </row>
    <row r="31" spans="1:6" x14ac:dyDescent="0.4">
      <c r="A31" s="6">
        <f t="shared" si="2"/>
        <v>30</v>
      </c>
      <c r="B31" s="6" t="str">
        <f t="shared" si="0"/>
        <v>Policy30</v>
      </c>
      <c r="C31" s="7" t="s">
        <v>12</v>
      </c>
      <c r="D31" s="6">
        <v>2023</v>
      </c>
      <c r="E31" s="6">
        <v>2026</v>
      </c>
      <c r="F31" s="8">
        <v>3147164</v>
      </c>
    </row>
    <row r="32" spans="1:6" x14ac:dyDescent="0.4">
      <c r="A32" s="6">
        <f t="shared" si="2"/>
        <v>31</v>
      </c>
      <c r="B32" s="6" t="str">
        <f t="shared" si="0"/>
        <v>Policy31</v>
      </c>
      <c r="C32" s="7" t="s">
        <v>12</v>
      </c>
      <c r="D32" s="6">
        <v>2023</v>
      </c>
      <c r="E32" s="6">
        <v>2026</v>
      </c>
      <c r="F32" s="8">
        <v>964227</v>
      </c>
    </row>
    <row r="33" spans="1:6" x14ac:dyDescent="0.4">
      <c r="A33" s="6">
        <f t="shared" si="2"/>
        <v>32</v>
      </c>
      <c r="B33" s="6" t="str">
        <f t="shared" si="0"/>
        <v>Policy32</v>
      </c>
      <c r="C33" s="7" t="s">
        <v>11</v>
      </c>
      <c r="D33" s="6">
        <v>2023</v>
      </c>
      <c r="E33" s="6">
        <v>2025</v>
      </c>
      <c r="F33" s="8">
        <v>34070</v>
      </c>
    </row>
    <row r="34" spans="1:6" x14ac:dyDescent="0.4">
      <c r="A34" s="6">
        <f t="shared" si="2"/>
        <v>33</v>
      </c>
      <c r="B34" s="6" t="str">
        <f t="shared" si="0"/>
        <v>Policy33</v>
      </c>
      <c r="C34" s="7" t="s">
        <v>12</v>
      </c>
      <c r="D34" s="6">
        <v>2025</v>
      </c>
      <c r="E34" s="6">
        <v>2026</v>
      </c>
      <c r="F34" s="8">
        <v>902880</v>
      </c>
    </row>
    <row r="35" spans="1:6" x14ac:dyDescent="0.4">
      <c r="A35" s="6">
        <f t="shared" si="2"/>
        <v>34</v>
      </c>
      <c r="B35" s="6" t="str">
        <f t="shared" si="0"/>
        <v>Policy34</v>
      </c>
      <c r="C35" s="7" t="s">
        <v>11</v>
      </c>
      <c r="D35" s="6">
        <v>2022</v>
      </c>
      <c r="E35" s="6">
        <v>2025</v>
      </c>
      <c r="F35" s="8">
        <v>6553</v>
      </c>
    </row>
    <row r="36" spans="1:6" x14ac:dyDescent="0.4">
      <c r="A36" s="6">
        <f t="shared" si="2"/>
        <v>35</v>
      </c>
      <c r="B36" s="6" t="str">
        <f t="shared" si="0"/>
        <v>Policy35</v>
      </c>
      <c r="C36" s="7" t="s">
        <v>12</v>
      </c>
      <c r="D36" s="6">
        <v>2024</v>
      </c>
      <c r="E36" s="6">
        <v>2026</v>
      </c>
      <c r="F36" s="8">
        <v>747647</v>
      </c>
    </row>
    <row r="37" spans="1:6" x14ac:dyDescent="0.4">
      <c r="A37" s="6">
        <f t="shared" si="2"/>
        <v>36</v>
      </c>
      <c r="B37" s="6" t="str">
        <f t="shared" si="0"/>
        <v>Policy36</v>
      </c>
      <c r="C37" s="7" t="s">
        <v>11</v>
      </c>
      <c r="D37" s="6">
        <v>2025</v>
      </c>
      <c r="E37" s="6">
        <v>2026</v>
      </c>
      <c r="F37" s="8">
        <v>32920</v>
      </c>
    </row>
    <row r="38" spans="1:6" x14ac:dyDescent="0.4">
      <c r="A38" s="6">
        <f t="shared" si="2"/>
        <v>37</v>
      </c>
      <c r="B38" s="6" t="str">
        <f t="shared" si="0"/>
        <v>Policy37</v>
      </c>
      <c r="C38" s="7" t="s">
        <v>12</v>
      </c>
      <c r="D38" s="6">
        <v>2023</v>
      </c>
      <c r="E38" s="6">
        <v>2025</v>
      </c>
      <c r="F38" s="8">
        <v>3257008</v>
      </c>
    </row>
    <row r="39" spans="1:6" x14ac:dyDescent="0.4">
      <c r="A39" s="6">
        <f t="shared" si="2"/>
        <v>38</v>
      </c>
      <c r="B39" s="6" t="str">
        <f t="shared" si="0"/>
        <v>Policy38</v>
      </c>
      <c r="C39" s="7" t="s">
        <v>11</v>
      </c>
      <c r="D39" s="6">
        <v>2023</v>
      </c>
      <c r="E39" s="6">
        <v>2026</v>
      </c>
      <c r="F39" s="8">
        <v>3654</v>
      </c>
    </row>
    <row r="40" spans="1:6" x14ac:dyDescent="0.4">
      <c r="A40" s="6">
        <f t="shared" si="2"/>
        <v>39</v>
      </c>
      <c r="B40" s="6" t="str">
        <f t="shared" si="0"/>
        <v>Policy39</v>
      </c>
      <c r="C40" s="7" t="s">
        <v>11</v>
      </c>
      <c r="D40" s="6">
        <v>2023</v>
      </c>
      <c r="E40" s="6">
        <v>2025</v>
      </c>
      <c r="F40" s="8">
        <v>13056</v>
      </c>
    </row>
    <row r="41" spans="1:6" x14ac:dyDescent="0.4">
      <c r="A41" s="6">
        <f t="shared" si="2"/>
        <v>40</v>
      </c>
      <c r="B41" s="6" t="str">
        <f t="shared" si="0"/>
        <v>Policy40</v>
      </c>
      <c r="C41" s="7" t="s">
        <v>11</v>
      </c>
      <c r="D41" s="6">
        <v>2025</v>
      </c>
      <c r="E41" s="6">
        <v>2026</v>
      </c>
      <c r="F41" s="8">
        <v>9746</v>
      </c>
    </row>
    <row r="42" spans="1:6" x14ac:dyDescent="0.4">
      <c r="A42" s="6">
        <f t="shared" si="2"/>
        <v>41</v>
      </c>
      <c r="B42" s="6" t="str">
        <f t="shared" si="0"/>
        <v>Policy41</v>
      </c>
      <c r="C42" s="7" t="s">
        <v>12</v>
      </c>
      <c r="D42" s="6">
        <v>2024</v>
      </c>
      <c r="E42" s="6">
        <v>2025</v>
      </c>
      <c r="F42" s="8">
        <v>4367690</v>
      </c>
    </row>
    <row r="43" spans="1:6" x14ac:dyDescent="0.4">
      <c r="A43" s="6">
        <f t="shared" si="2"/>
        <v>42</v>
      </c>
      <c r="B43" s="6" t="str">
        <f t="shared" si="0"/>
        <v>Policy42</v>
      </c>
      <c r="C43" s="7" t="s">
        <v>12</v>
      </c>
      <c r="D43" s="6">
        <v>2025</v>
      </c>
      <c r="E43" s="6">
        <v>2026</v>
      </c>
      <c r="F43" s="8">
        <v>237635</v>
      </c>
    </row>
    <row r="44" spans="1:6" x14ac:dyDescent="0.4">
      <c r="A44" s="6">
        <f t="shared" si="2"/>
        <v>43</v>
      </c>
      <c r="B44" s="6" t="str">
        <f t="shared" si="0"/>
        <v>Policy43</v>
      </c>
      <c r="C44" s="7" t="s">
        <v>12</v>
      </c>
      <c r="D44" s="6">
        <v>2025</v>
      </c>
      <c r="E44" s="6">
        <v>2026</v>
      </c>
      <c r="F44" s="8">
        <v>4573300</v>
      </c>
    </row>
    <row r="45" spans="1:6" x14ac:dyDescent="0.4">
      <c r="A45" s="6">
        <f t="shared" si="2"/>
        <v>44</v>
      </c>
      <c r="B45" s="6" t="str">
        <f t="shared" si="0"/>
        <v>Policy44</v>
      </c>
      <c r="C45" s="7" t="s">
        <v>12</v>
      </c>
      <c r="D45" s="6">
        <v>2024</v>
      </c>
      <c r="E45" s="6">
        <v>2025</v>
      </c>
      <c r="F45" s="8">
        <v>2921357</v>
      </c>
    </row>
    <row r="46" spans="1:6" x14ac:dyDescent="0.4">
      <c r="A46" s="6">
        <f t="shared" si="2"/>
        <v>45</v>
      </c>
      <c r="B46" s="6" t="str">
        <f t="shared" si="0"/>
        <v>Policy45</v>
      </c>
      <c r="C46" s="7" t="s">
        <v>12</v>
      </c>
      <c r="D46" s="6">
        <v>2021</v>
      </c>
      <c r="E46" s="6">
        <v>2025</v>
      </c>
      <c r="F46" s="8">
        <v>2441277</v>
      </c>
    </row>
    <row r="47" spans="1:6" x14ac:dyDescent="0.4">
      <c r="A47" s="6">
        <f t="shared" si="2"/>
        <v>46</v>
      </c>
      <c r="B47" s="6" t="str">
        <f t="shared" si="0"/>
        <v>Policy46</v>
      </c>
      <c r="C47" s="7" t="s">
        <v>11</v>
      </c>
      <c r="D47" s="6">
        <v>2023</v>
      </c>
      <c r="E47" s="6">
        <v>2026</v>
      </c>
      <c r="F47" s="8">
        <v>44218</v>
      </c>
    </row>
    <row r="48" spans="1:6" x14ac:dyDescent="0.4">
      <c r="A48" s="6">
        <f t="shared" si="2"/>
        <v>47</v>
      </c>
      <c r="B48" s="6" t="str">
        <f t="shared" si="0"/>
        <v>Policy47</v>
      </c>
      <c r="C48" s="7" t="s">
        <v>12</v>
      </c>
      <c r="D48" s="6">
        <v>2023</v>
      </c>
      <c r="E48" s="6">
        <v>2026</v>
      </c>
      <c r="F48" s="8">
        <v>3917941</v>
      </c>
    </row>
    <row r="49" spans="1:6" x14ac:dyDescent="0.4">
      <c r="A49" s="6">
        <f t="shared" si="2"/>
        <v>48</v>
      </c>
      <c r="B49" s="6" t="str">
        <f t="shared" si="0"/>
        <v>Policy48</v>
      </c>
      <c r="C49" s="7" t="s">
        <v>11</v>
      </c>
      <c r="D49" s="6">
        <v>2022</v>
      </c>
      <c r="E49" s="6">
        <v>2026</v>
      </c>
      <c r="F49" s="8">
        <v>5418</v>
      </c>
    </row>
    <row r="50" spans="1:6" x14ac:dyDescent="0.4">
      <c r="A50" s="6">
        <f t="shared" si="2"/>
        <v>49</v>
      </c>
      <c r="B50" s="6" t="str">
        <f t="shared" si="0"/>
        <v>Policy49</v>
      </c>
      <c r="C50" s="7" t="s">
        <v>11</v>
      </c>
      <c r="D50" s="6">
        <v>2021</v>
      </c>
      <c r="E50" s="6">
        <v>2022</v>
      </c>
      <c r="F50" s="8">
        <v>22309</v>
      </c>
    </row>
    <row r="51" spans="1:6" x14ac:dyDescent="0.4">
      <c r="A51" s="6">
        <f t="shared" si="2"/>
        <v>50</v>
      </c>
      <c r="B51" s="6" t="str">
        <f t="shared" si="0"/>
        <v>Policy50</v>
      </c>
      <c r="C51" s="7" t="s">
        <v>12</v>
      </c>
      <c r="D51" s="6">
        <v>2021</v>
      </c>
      <c r="E51" s="6">
        <v>2024</v>
      </c>
      <c r="F51" s="8">
        <v>4678392</v>
      </c>
    </row>
    <row r="52" spans="1:6" x14ac:dyDescent="0.4">
      <c r="A52" s="6">
        <f t="shared" si="2"/>
        <v>51</v>
      </c>
      <c r="B52" s="6" t="str">
        <f t="shared" si="0"/>
        <v>Policy51</v>
      </c>
      <c r="C52" s="7" t="s">
        <v>11</v>
      </c>
      <c r="D52" s="6">
        <v>2022</v>
      </c>
      <c r="E52" s="6">
        <v>2025</v>
      </c>
      <c r="F52" s="8">
        <v>8937</v>
      </c>
    </row>
    <row r="53" spans="1:6" x14ac:dyDescent="0.4">
      <c r="A53" s="6">
        <f t="shared" si="2"/>
        <v>52</v>
      </c>
      <c r="B53" s="6" t="str">
        <f t="shared" si="0"/>
        <v>Policy52</v>
      </c>
      <c r="C53" s="7" t="s">
        <v>11</v>
      </c>
      <c r="D53" s="6">
        <v>2025</v>
      </c>
      <c r="E53" s="6">
        <v>2026</v>
      </c>
      <c r="F53" s="8">
        <v>6500</v>
      </c>
    </row>
    <row r="54" spans="1:6" x14ac:dyDescent="0.4">
      <c r="A54" s="6">
        <f t="shared" si="2"/>
        <v>53</v>
      </c>
      <c r="B54" s="6" t="str">
        <f t="shared" si="0"/>
        <v>Policy53</v>
      </c>
      <c r="C54" s="7" t="s">
        <v>12</v>
      </c>
      <c r="D54" s="6">
        <v>2023</v>
      </c>
      <c r="E54" s="6">
        <v>2026</v>
      </c>
      <c r="F54" s="8">
        <v>4175571</v>
      </c>
    </row>
    <row r="55" spans="1:6" x14ac:dyDescent="0.4">
      <c r="A55" s="6">
        <f t="shared" si="2"/>
        <v>54</v>
      </c>
      <c r="B55" s="6" t="str">
        <f t="shared" si="0"/>
        <v>Policy54</v>
      </c>
      <c r="C55" s="7" t="s">
        <v>12</v>
      </c>
      <c r="D55" s="6">
        <v>2024</v>
      </c>
      <c r="E55" s="6">
        <v>2025</v>
      </c>
      <c r="F55" s="8">
        <v>337491</v>
      </c>
    </row>
    <row r="56" spans="1:6" x14ac:dyDescent="0.4">
      <c r="A56" s="6">
        <f t="shared" si="2"/>
        <v>55</v>
      </c>
      <c r="B56" s="6" t="str">
        <f t="shared" si="0"/>
        <v>Policy55</v>
      </c>
      <c r="C56" s="7" t="s">
        <v>12</v>
      </c>
      <c r="D56" s="6">
        <v>2025</v>
      </c>
      <c r="E56" s="6">
        <v>2026</v>
      </c>
      <c r="F56" s="8">
        <v>2465835</v>
      </c>
    </row>
    <row r="57" spans="1:6" x14ac:dyDescent="0.4">
      <c r="A57" s="6">
        <f t="shared" si="2"/>
        <v>56</v>
      </c>
      <c r="B57" s="6" t="str">
        <f t="shared" si="0"/>
        <v>Policy56</v>
      </c>
      <c r="C57" s="7" t="s">
        <v>11</v>
      </c>
      <c r="D57" s="6">
        <v>2022</v>
      </c>
      <c r="E57" s="6">
        <v>2024</v>
      </c>
      <c r="F57" s="8">
        <v>1069</v>
      </c>
    </row>
    <row r="58" spans="1:6" x14ac:dyDescent="0.4">
      <c r="A58" s="6">
        <f t="shared" si="2"/>
        <v>57</v>
      </c>
      <c r="B58" s="6" t="str">
        <f t="shared" si="0"/>
        <v>Policy57</v>
      </c>
      <c r="C58" s="7" t="s">
        <v>12</v>
      </c>
      <c r="D58" s="6">
        <v>2025</v>
      </c>
      <c r="E58" s="6">
        <v>2026</v>
      </c>
      <c r="F58" s="8">
        <v>4156367</v>
      </c>
    </row>
    <row r="59" spans="1:6" x14ac:dyDescent="0.4">
      <c r="A59" s="6">
        <f t="shared" si="2"/>
        <v>58</v>
      </c>
      <c r="B59" s="6" t="str">
        <f t="shared" si="0"/>
        <v>Policy58</v>
      </c>
      <c r="C59" s="7" t="s">
        <v>12</v>
      </c>
      <c r="D59" s="6">
        <v>2024</v>
      </c>
      <c r="E59" s="6">
        <v>2025</v>
      </c>
      <c r="F59" s="8">
        <v>2954921</v>
      </c>
    </row>
    <row r="60" spans="1:6" x14ac:dyDescent="0.4">
      <c r="A60" s="6">
        <f t="shared" si="2"/>
        <v>59</v>
      </c>
      <c r="B60" s="6" t="str">
        <f t="shared" si="0"/>
        <v>Policy59</v>
      </c>
      <c r="C60" s="7" t="s">
        <v>11</v>
      </c>
      <c r="D60" s="6">
        <v>2025</v>
      </c>
      <c r="E60" s="6">
        <v>2026</v>
      </c>
      <c r="F60" s="8">
        <v>48470</v>
      </c>
    </row>
    <row r="61" spans="1:6" x14ac:dyDescent="0.4">
      <c r="A61" s="6">
        <f t="shared" si="2"/>
        <v>60</v>
      </c>
      <c r="B61" s="6" t="str">
        <f t="shared" si="0"/>
        <v>Policy60</v>
      </c>
      <c r="C61" s="7" t="s">
        <v>12</v>
      </c>
      <c r="D61" s="6">
        <v>2025</v>
      </c>
      <c r="E61" s="6">
        <v>2026</v>
      </c>
      <c r="F61" s="8">
        <v>4919014</v>
      </c>
    </row>
    <row r="62" spans="1:6" x14ac:dyDescent="0.4">
      <c r="A62" s="6">
        <f t="shared" si="2"/>
        <v>61</v>
      </c>
      <c r="B62" s="6" t="str">
        <f t="shared" si="0"/>
        <v>Policy61</v>
      </c>
      <c r="C62" s="7" t="s">
        <v>12</v>
      </c>
      <c r="D62" s="6">
        <v>2024</v>
      </c>
      <c r="E62" s="6">
        <v>2025</v>
      </c>
      <c r="F62" s="8">
        <v>4845778</v>
      </c>
    </row>
    <row r="63" spans="1:6" x14ac:dyDescent="0.4">
      <c r="A63" s="6">
        <f t="shared" si="2"/>
        <v>62</v>
      </c>
      <c r="B63" s="6" t="str">
        <f t="shared" si="0"/>
        <v>Policy62</v>
      </c>
      <c r="C63" s="7" t="s">
        <v>12</v>
      </c>
      <c r="D63" s="6">
        <v>2022</v>
      </c>
      <c r="E63" s="6">
        <v>2025</v>
      </c>
      <c r="F63" s="8">
        <v>4319446</v>
      </c>
    </row>
    <row r="64" spans="1:6" x14ac:dyDescent="0.4">
      <c r="A64" s="6">
        <f t="shared" si="2"/>
        <v>63</v>
      </c>
      <c r="B64" s="6" t="str">
        <f t="shared" si="0"/>
        <v>Policy63</v>
      </c>
      <c r="C64" s="7" t="s">
        <v>12</v>
      </c>
      <c r="D64" s="6">
        <v>2025</v>
      </c>
      <c r="E64" s="6">
        <v>2026</v>
      </c>
      <c r="F64" s="8">
        <v>947131</v>
      </c>
    </row>
    <row r="65" spans="1:6" x14ac:dyDescent="0.4">
      <c r="A65" s="6">
        <f t="shared" si="2"/>
        <v>64</v>
      </c>
      <c r="B65" s="6" t="str">
        <f t="shared" si="0"/>
        <v>Policy64</v>
      </c>
      <c r="C65" s="7" t="s">
        <v>11</v>
      </c>
      <c r="D65" s="6">
        <v>2022</v>
      </c>
      <c r="E65" s="6">
        <v>2026</v>
      </c>
      <c r="F65" s="8">
        <v>13267</v>
      </c>
    </row>
    <row r="66" spans="1:6" x14ac:dyDescent="0.4">
      <c r="A66" s="6">
        <f t="shared" si="2"/>
        <v>65</v>
      </c>
      <c r="B66" s="6" t="str">
        <f t="shared" si="0"/>
        <v>Policy65</v>
      </c>
      <c r="C66" s="7" t="s">
        <v>12</v>
      </c>
      <c r="D66" s="6">
        <v>2023</v>
      </c>
      <c r="E66" s="6">
        <v>2025</v>
      </c>
      <c r="F66" s="8">
        <v>3020552</v>
      </c>
    </row>
    <row r="67" spans="1:6" x14ac:dyDescent="0.4">
      <c r="A67" s="6">
        <f t="shared" si="2"/>
        <v>66</v>
      </c>
      <c r="B67" s="6" t="str">
        <f t="shared" ref="B67:B130" si="7">"Policy"&amp;A67</f>
        <v>Policy66</v>
      </c>
      <c r="C67" s="7" t="s">
        <v>11</v>
      </c>
      <c r="D67" s="6">
        <v>2022</v>
      </c>
      <c r="E67" s="6">
        <v>2024</v>
      </c>
      <c r="F67" s="8">
        <v>38711</v>
      </c>
    </row>
    <row r="68" spans="1:6" x14ac:dyDescent="0.4">
      <c r="A68" s="6">
        <f t="shared" ref="A68:A131" si="8">A67+1</f>
        <v>67</v>
      </c>
      <c r="B68" s="6" t="str">
        <f t="shared" si="7"/>
        <v>Policy67</v>
      </c>
      <c r="C68" s="7" t="s">
        <v>11</v>
      </c>
      <c r="D68" s="6">
        <v>2023</v>
      </c>
      <c r="E68" s="6">
        <v>2025</v>
      </c>
      <c r="F68" s="8">
        <v>19358</v>
      </c>
    </row>
    <row r="69" spans="1:6" x14ac:dyDescent="0.4">
      <c r="A69" s="6">
        <f t="shared" si="8"/>
        <v>68</v>
      </c>
      <c r="B69" s="6" t="str">
        <f t="shared" si="7"/>
        <v>Policy68</v>
      </c>
      <c r="C69" s="7" t="s">
        <v>11</v>
      </c>
      <c r="D69" s="6">
        <v>2021</v>
      </c>
      <c r="E69" s="6">
        <v>2025</v>
      </c>
      <c r="F69" s="8">
        <v>19478</v>
      </c>
    </row>
    <row r="70" spans="1:6" x14ac:dyDescent="0.4">
      <c r="A70" s="6">
        <f t="shared" si="8"/>
        <v>69</v>
      </c>
      <c r="B70" s="6" t="str">
        <f t="shared" si="7"/>
        <v>Policy69</v>
      </c>
      <c r="C70" s="7" t="s">
        <v>12</v>
      </c>
      <c r="D70" s="6">
        <v>2023</v>
      </c>
      <c r="E70" s="6">
        <v>2026</v>
      </c>
      <c r="F70" s="8">
        <v>2797576</v>
      </c>
    </row>
    <row r="71" spans="1:6" x14ac:dyDescent="0.4">
      <c r="A71" s="6">
        <f t="shared" si="8"/>
        <v>70</v>
      </c>
      <c r="B71" s="6" t="str">
        <f t="shared" si="7"/>
        <v>Policy70</v>
      </c>
      <c r="C71" s="7" t="s">
        <v>11</v>
      </c>
      <c r="D71" s="6">
        <v>2021</v>
      </c>
      <c r="E71" s="6">
        <v>2023</v>
      </c>
      <c r="F71" s="8">
        <v>26752</v>
      </c>
    </row>
    <row r="72" spans="1:6" x14ac:dyDescent="0.4">
      <c r="A72" s="6">
        <f t="shared" si="8"/>
        <v>71</v>
      </c>
      <c r="B72" s="6" t="str">
        <f t="shared" si="7"/>
        <v>Policy71</v>
      </c>
      <c r="C72" s="7" t="s">
        <v>12</v>
      </c>
      <c r="D72" s="6">
        <v>2025</v>
      </c>
      <c r="E72" s="6">
        <v>2026</v>
      </c>
      <c r="F72" s="8">
        <v>1241315</v>
      </c>
    </row>
    <row r="73" spans="1:6" x14ac:dyDescent="0.4">
      <c r="A73" s="6">
        <f t="shared" si="8"/>
        <v>72</v>
      </c>
      <c r="B73" s="6" t="str">
        <f t="shared" si="7"/>
        <v>Policy72</v>
      </c>
      <c r="C73" s="7" t="s">
        <v>11</v>
      </c>
      <c r="D73" s="6">
        <v>2021</v>
      </c>
      <c r="E73" s="6">
        <v>2026</v>
      </c>
      <c r="F73" s="8">
        <v>33049</v>
      </c>
    </row>
    <row r="74" spans="1:6" x14ac:dyDescent="0.4">
      <c r="A74" s="6">
        <f t="shared" si="8"/>
        <v>73</v>
      </c>
      <c r="B74" s="6" t="str">
        <f t="shared" si="7"/>
        <v>Policy73</v>
      </c>
      <c r="C74" s="7" t="s">
        <v>12</v>
      </c>
      <c r="D74" s="6">
        <v>2024</v>
      </c>
      <c r="E74" s="6">
        <v>2026</v>
      </c>
      <c r="F74" s="8">
        <v>137661</v>
      </c>
    </row>
    <row r="75" spans="1:6" x14ac:dyDescent="0.4">
      <c r="A75" s="6">
        <f t="shared" si="8"/>
        <v>74</v>
      </c>
      <c r="B75" s="6" t="str">
        <f t="shared" si="7"/>
        <v>Policy74</v>
      </c>
      <c r="C75" s="7" t="s">
        <v>11</v>
      </c>
      <c r="D75" s="6">
        <v>2022</v>
      </c>
      <c r="E75" s="6">
        <v>2024</v>
      </c>
      <c r="F75" s="8">
        <v>41309</v>
      </c>
    </row>
    <row r="76" spans="1:6" x14ac:dyDescent="0.4">
      <c r="A76" s="6">
        <f t="shared" si="8"/>
        <v>75</v>
      </c>
      <c r="B76" s="6" t="str">
        <f t="shared" si="7"/>
        <v>Policy75</v>
      </c>
      <c r="C76" s="7" t="s">
        <v>11</v>
      </c>
      <c r="D76" s="6">
        <v>2023</v>
      </c>
      <c r="E76" s="6">
        <v>2024</v>
      </c>
      <c r="F76" s="8">
        <v>29655</v>
      </c>
    </row>
    <row r="77" spans="1:6" x14ac:dyDescent="0.4">
      <c r="A77" s="6">
        <f t="shared" si="8"/>
        <v>76</v>
      </c>
      <c r="B77" s="6" t="str">
        <f t="shared" si="7"/>
        <v>Policy76</v>
      </c>
      <c r="C77" s="7" t="s">
        <v>11</v>
      </c>
      <c r="D77" s="6">
        <v>2025</v>
      </c>
      <c r="E77" s="6">
        <v>2026</v>
      </c>
      <c r="F77" s="8">
        <v>765</v>
      </c>
    </row>
    <row r="78" spans="1:6" x14ac:dyDescent="0.4">
      <c r="A78" s="6">
        <f t="shared" si="8"/>
        <v>77</v>
      </c>
      <c r="B78" s="6" t="str">
        <f t="shared" si="7"/>
        <v>Policy77</v>
      </c>
      <c r="C78" s="7" t="s">
        <v>11</v>
      </c>
      <c r="D78" s="6">
        <v>2023</v>
      </c>
      <c r="E78" s="6">
        <v>2026</v>
      </c>
      <c r="F78" s="8">
        <v>2641</v>
      </c>
    </row>
    <row r="79" spans="1:6" x14ac:dyDescent="0.4">
      <c r="A79" s="6">
        <f t="shared" si="8"/>
        <v>78</v>
      </c>
      <c r="B79" s="6" t="str">
        <f t="shared" si="7"/>
        <v>Policy78</v>
      </c>
      <c r="C79" s="7" t="s">
        <v>11</v>
      </c>
      <c r="D79" s="6">
        <v>2021</v>
      </c>
      <c r="E79" s="6">
        <v>2023</v>
      </c>
      <c r="F79" s="8">
        <v>25901</v>
      </c>
    </row>
    <row r="80" spans="1:6" x14ac:dyDescent="0.4">
      <c r="A80" s="6">
        <f t="shared" si="8"/>
        <v>79</v>
      </c>
      <c r="B80" s="6" t="str">
        <f t="shared" si="7"/>
        <v>Policy79</v>
      </c>
      <c r="C80" s="7" t="s">
        <v>12</v>
      </c>
      <c r="D80" s="6">
        <v>2021</v>
      </c>
      <c r="E80" s="6">
        <v>2025</v>
      </c>
      <c r="F80" s="8">
        <v>750847</v>
      </c>
    </row>
    <row r="81" spans="1:6" x14ac:dyDescent="0.4">
      <c r="A81" s="6">
        <f t="shared" si="8"/>
        <v>80</v>
      </c>
      <c r="B81" s="6" t="str">
        <f t="shared" si="7"/>
        <v>Policy80</v>
      </c>
      <c r="C81" s="7" t="s">
        <v>12</v>
      </c>
      <c r="D81" s="6">
        <v>2023</v>
      </c>
      <c r="E81" s="6">
        <v>2024</v>
      </c>
      <c r="F81" s="8">
        <v>3181683</v>
      </c>
    </row>
    <row r="82" spans="1:6" x14ac:dyDescent="0.4">
      <c r="A82" s="6">
        <f t="shared" si="8"/>
        <v>81</v>
      </c>
      <c r="B82" s="6" t="str">
        <f t="shared" si="7"/>
        <v>Policy81</v>
      </c>
      <c r="C82" s="7" t="s">
        <v>11</v>
      </c>
      <c r="D82" s="6">
        <v>2025</v>
      </c>
      <c r="E82" s="6">
        <v>2026</v>
      </c>
      <c r="F82" s="8">
        <v>34486</v>
      </c>
    </row>
    <row r="83" spans="1:6" x14ac:dyDescent="0.4">
      <c r="A83" s="6">
        <f t="shared" si="8"/>
        <v>82</v>
      </c>
      <c r="B83" s="6" t="str">
        <f t="shared" si="7"/>
        <v>Policy82</v>
      </c>
      <c r="C83" s="7" t="s">
        <v>11</v>
      </c>
      <c r="D83" s="6">
        <v>2022</v>
      </c>
      <c r="E83" s="6">
        <v>2024</v>
      </c>
      <c r="F83" s="8">
        <v>48339</v>
      </c>
    </row>
    <row r="84" spans="1:6" x14ac:dyDescent="0.4">
      <c r="A84" s="6">
        <f t="shared" si="8"/>
        <v>83</v>
      </c>
      <c r="B84" s="6" t="str">
        <f t="shared" si="7"/>
        <v>Policy83</v>
      </c>
      <c r="C84" s="7" t="s">
        <v>12</v>
      </c>
      <c r="D84" s="6">
        <v>2022</v>
      </c>
      <c r="E84" s="6">
        <v>2024</v>
      </c>
      <c r="F84" s="8">
        <v>3101156</v>
      </c>
    </row>
    <row r="85" spans="1:6" x14ac:dyDescent="0.4">
      <c r="A85" s="6">
        <f t="shared" si="8"/>
        <v>84</v>
      </c>
      <c r="B85" s="6" t="str">
        <f t="shared" si="7"/>
        <v>Policy84</v>
      </c>
      <c r="C85" s="7" t="s">
        <v>11</v>
      </c>
      <c r="D85" s="6">
        <v>2023</v>
      </c>
      <c r="E85" s="6">
        <v>2025</v>
      </c>
      <c r="F85" s="8">
        <v>7589</v>
      </c>
    </row>
    <row r="86" spans="1:6" x14ac:dyDescent="0.4">
      <c r="A86" s="6">
        <f t="shared" si="8"/>
        <v>85</v>
      </c>
      <c r="B86" s="6" t="str">
        <f t="shared" si="7"/>
        <v>Policy85</v>
      </c>
      <c r="C86" s="7" t="s">
        <v>12</v>
      </c>
      <c r="D86" s="6">
        <v>2022</v>
      </c>
      <c r="E86" s="6">
        <v>2025</v>
      </c>
      <c r="F86" s="8">
        <v>3923767</v>
      </c>
    </row>
    <row r="87" spans="1:6" x14ac:dyDescent="0.4">
      <c r="A87" s="6">
        <f t="shared" si="8"/>
        <v>86</v>
      </c>
      <c r="B87" s="6" t="str">
        <f t="shared" si="7"/>
        <v>Policy86</v>
      </c>
      <c r="C87" s="7" t="s">
        <v>11</v>
      </c>
      <c r="D87" s="6">
        <v>2022</v>
      </c>
      <c r="E87" s="6">
        <v>2025</v>
      </c>
      <c r="F87" s="8">
        <v>7195</v>
      </c>
    </row>
    <row r="88" spans="1:6" x14ac:dyDescent="0.4">
      <c r="A88" s="6">
        <f t="shared" si="8"/>
        <v>87</v>
      </c>
      <c r="B88" s="6" t="str">
        <f t="shared" si="7"/>
        <v>Policy87</v>
      </c>
      <c r="C88" s="7" t="s">
        <v>11</v>
      </c>
      <c r="D88" s="6">
        <v>2021</v>
      </c>
      <c r="E88" s="6">
        <v>2025</v>
      </c>
      <c r="F88" s="8">
        <v>22547</v>
      </c>
    </row>
    <row r="89" spans="1:6" x14ac:dyDescent="0.4">
      <c r="A89" s="6">
        <f t="shared" si="8"/>
        <v>88</v>
      </c>
      <c r="B89" s="6" t="str">
        <f t="shared" si="7"/>
        <v>Policy88</v>
      </c>
      <c r="C89" s="7" t="s">
        <v>11</v>
      </c>
      <c r="D89" s="6">
        <v>2024</v>
      </c>
      <c r="E89" s="6">
        <v>2026</v>
      </c>
      <c r="F89" s="8">
        <v>41471</v>
      </c>
    </row>
    <row r="90" spans="1:6" x14ac:dyDescent="0.4">
      <c r="A90" s="6">
        <f t="shared" si="8"/>
        <v>89</v>
      </c>
      <c r="B90" s="6" t="str">
        <f t="shared" si="7"/>
        <v>Policy89</v>
      </c>
      <c r="C90" s="7" t="s">
        <v>11</v>
      </c>
      <c r="D90" s="6">
        <v>2025</v>
      </c>
      <c r="E90" s="6">
        <v>2026</v>
      </c>
      <c r="F90" s="8">
        <v>49385</v>
      </c>
    </row>
    <row r="91" spans="1:6" x14ac:dyDescent="0.4">
      <c r="A91" s="6">
        <f t="shared" si="8"/>
        <v>90</v>
      </c>
      <c r="B91" s="6" t="str">
        <f t="shared" si="7"/>
        <v>Policy90</v>
      </c>
      <c r="C91" s="7" t="s">
        <v>12</v>
      </c>
      <c r="D91" s="6">
        <v>2025</v>
      </c>
      <c r="E91" s="6">
        <v>2026</v>
      </c>
      <c r="F91" s="8">
        <v>1181767</v>
      </c>
    </row>
    <row r="92" spans="1:6" x14ac:dyDescent="0.4">
      <c r="A92" s="6">
        <f t="shared" si="8"/>
        <v>91</v>
      </c>
      <c r="B92" s="6" t="str">
        <f t="shared" si="7"/>
        <v>Policy91</v>
      </c>
      <c r="C92" s="7" t="s">
        <v>12</v>
      </c>
      <c r="D92" s="6">
        <v>2025</v>
      </c>
      <c r="E92" s="6">
        <v>2026</v>
      </c>
      <c r="F92" s="8">
        <v>3707484</v>
      </c>
    </row>
    <row r="93" spans="1:6" x14ac:dyDescent="0.4">
      <c r="A93" s="6">
        <f t="shared" si="8"/>
        <v>92</v>
      </c>
      <c r="B93" s="6" t="str">
        <f t="shared" si="7"/>
        <v>Policy92</v>
      </c>
      <c r="C93" s="7" t="s">
        <v>11</v>
      </c>
      <c r="D93" s="6">
        <v>2025</v>
      </c>
      <c r="E93" s="6">
        <v>2026</v>
      </c>
      <c r="F93" s="8">
        <v>42066</v>
      </c>
    </row>
    <row r="94" spans="1:6" x14ac:dyDescent="0.4">
      <c r="A94" s="6">
        <f t="shared" si="8"/>
        <v>93</v>
      </c>
      <c r="B94" s="6" t="str">
        <f t="shared" si="7"/>
        <v>Policy93</v>
      </c>
      <c r="C94" s="7" t="s">
        <v>11</v>
      </c>
      <c r="D94" s="6">
        <v>2023</v>
      </c>
      <c r="E94" s="6">
        <v>2024</v>
      </c>
      <c r="F94" s="8">
        <v>36860</v>
      </c>
    </row>
    <row r="95" spans="1:6" x14ac:dyDescent="0.4">
      <c r="A95" s="6">
        <f t="shared" si="8"/>
        <v>94</v>
      </c>
      <c r="B95" s="6" t="str">
        <f t="shared" si="7"/>
        <v>Policy94</v>
      </c>
      <c r="C95" s="7" t="s">
        <v>11</v>
      </c>
      <c r="D95" s="6">
        <v>2023</v>
      </c>
      <c r="E95" s="6">
        <v>2024</v>
      </c>
      <c r="F95" s="8">
        <v>42047</v>
      </c>
    </row>
    <row r="96" spans="1:6" x14ac:dyDescent="0.4">
      <c r="A96" s="6">
        <f t="shared" si="8"/>
        <v>95</v>
      </c>
      <c r="B96" s="6" t="str">
        <f t="shared" si="7"/>
        <v>Policy95</v>
      </c>
      <c r="C96" s="7" t="s">
        <v>11</v>
      </c>
      <c r="D96" s="6">
        <v>2024</v>
      </c>
      <c r="E96" s="6">
        <v>2026</v>
      </c>
      <c r="F96" s="8">
        <v>42568</v>
      </c>
    </row>
    <row r="97" spans="1:6" x14ac:dyDescent="0.4">
      <c r="A97" s="6">
        <f t="shared" si="8"/>
        <v>96</v>
      </c>
      <c r="B97" s="6" t="str">
        <f t="shared" si="7"/>
        <v>Policy96</v>
      </c>
      <c r="C97" s="7" t="s">
        <v>12</v>
      </c>
      <c r="D97" s="6">
        <v>2021</v>
      </c>
      <c r="E97" s="6">
        <v>2023</v>
      </c>
      <c r="F97" s="8">
        <v>2934431</v>
      </c>
    </row>
    <row r="98" spans="1:6" x14ac:dyDescent="0.4">
      <c r="A98" s="6">
        <f t="shared" si="8"/>
        <v>97</v>
      </c>
      <c r="B98" s="6" t="str">
        <f t="shared" si="7"/>
        <v>Policy97</v>
      </c>
      <c r="C98" s="7" t="s">
        <v>12</v>
      </c>
      <c r="D98" s="6">
        <v>2023</v>
      </c>
      <c r="E98" s="6">
        <v>2026</v>
      </c>
      <c r="F98" s="8">
        <v>1592812</v>
      </c>
    </row>
    <row r="99" spans="1:6" x14ac:dyDescent="0.4">
      <c r="A99" s="6">
        <f t="shared" si="8"/>
        <v>98</v>
      </c>
      <c r="B99" s="6" t="str">
        <f t="shared" si="7"/>
        <v>Policy98</v>
      </c>
      <c r="C99" s="7" t="s">
        <v>11</v>
      </c>
      <c r="D99" s="6">
        <v>2023</v>
      </c>
      <c r="E99" s="6">
        <v>2025</v>
      </c>
      <c r="F99" s="8">
        <v>41816</v>
      </c>
    </row>
    <row r="100" spans="1:6" x14ac:dyDescent="0.4">
      <c r="A100" s="6">
        <f t="shared" si="8"/>
        <v>99</v>
      </c>
      <c r="B100" s="6" t="str">
        <f t="shared" si="7"/>
        <v>Policy99</v>
      </c>
      <c r="C100" s="7" t="s">
        <v>12</v>
      </c>
      <c r="D100" s="6">
        <v>2023</v>
      </c>
      <c r="E100" s="6">
        <v>2025</v>
      </c>
      <c r="F100" s="8">
        <v>4190744</v>
      </c>
    </row>
    <row r="101" spans="1:6" x14ac:dyDescent="0.4">
      <c r="A101" s="6">
        <f t="shared" si="8"/>
        <v>100</v>
      </c>
      <c r="B101" s="6" t="str">
        <f t="shared" si="7"/>
        <v>Policy100</v>
      </c>
      <c r="C101" s="7" t="s">
        <v>11</v>
      </c>
      <c r="D101" s="6">
        <v>2023</v>
      </c>
      <c r="E101" s="6">
        <v>2026</v>
      </c>
      <c r="F101" s="8">
        <v>44484</v>
      </c>
    </row>
    <row r="102" spans="1:6" x14ac:dyDescent="0.4">
      <c r="A102" s="6">
        <f t="shared" si="8"/>
        <v>101</v>
      </c>
      <c r="B102" s="6" t="str">
        <f t="shared" si="7"/>
        <v>Policy101</v>
      </c>
      <c r="C102" s="7" t="s">
        <v>11</v>
      </c>
      <c r="D102" s="6">
        <v>2021</v>
      </c>
      <c r="E102" s="6">
        <v>2022</v>
      </c>
      <c r="F102" s="8">
        <v>49003</v>
      </c>
    </row>
    <row r="103" spans="1:6" x14ac:dyDescent="0.4">
      <c r="A103" s="6">
        <f t="shared" si="8"/>
        <v>102</v>
      </c>
      <c r="B103" s="6" t="str">
        <f t="shared" si="7"/>
        <v>Policy102</v>
      </c>
      <c r="C103" s="7" t="s">
        <v>11</v>
      </c>
      <c r="D103" s="6">
        <v>2022</v>
      </c>
      <c r="E103" s="6">
        <v>2024</v>
      </c>
      <c r="F103" s="8">
        <v>2351</v>
      </c>
    </row>
    <row r="104" spans="1:6" x14ac:dyDescent="0.4">
      <c r="A104" s="6">
        <f t="shared" si="8"/>
        <v>103</v>
      </c>
      <c r="B104" s="6" t="str">
        <f t="shared" si="7"/>
        <v>Policy103</v>
      </c>
      <c r="C104" s="7" t="s">
        <v>12</v>
      </c>
      <c r="D104" s="6">
        <v>2022</v>
      </c>
      <c r="E104" s="6">
        <v>2026</v>
      </c>
      <c r="F104" s="8">
        <v>1465180</v>
      </c>
    </row>
    <row r="105" spans="1:6" x14ac:dyDescent="0.4">
      <c r="A105" s="6">
        <f t="shared" si="8"/>
        <v>104</v>
      </c>
      <c r="B105" s="6" t="str">
        <f t="shared" si="7"/>
        <v>Policy104</v>
      </c>
      <c r="C105" s="7" t="s">
        <v>12</v>
      </c>
      <c r="D105" s="6">
        <v>2023</v>
      </c>
      <c r="E105" s="6">
        <v>2025</v>
      </c>
      <c r="F105" s="8">
        <v>4818374</v>
      </c>
    </row>
    <row r="106" spans="1:6" x14ac:dyDescent="0.4">
      <c r="A106" s="6">
        <f t="shared" si="8"/>
        <v>105</v>
      </c>
      <c r="B106" s="6" t="str">
        <f t="shared" si="7"/>
        <v>Policy105</v>
      </c>
      <c r="C106" s="7" t="s">
        <v>12</v>
      </c>
      <c r="D106" s="6">
        <v>2023</v>
      </c>
      <c r="E106" s="6">
        <v>2025</v>
      </c>
      <c r="F106" s="8">
        <v>484112</v>
      </c>
    </row>
    <row r="107" spans="1:6" x14ac:dyDescent="0.4">
      <c r="A107" s="6">
        <f t="shared" si="8"/>
        <v>106</v>
      </c>
      <c r="B107" s="6" t="str">
        <f t="shared" si="7"/>
        <v>Policy106</v>
      </c>
      <c r="C107" s="7" t="s">
        <v>11</v>
      </c>
      <c r="D107" s="6">
        <v>2022</v>
      </c>
      <c r="E107" s="6">
        <v>2023</v>
      </c>
      <c r="F107" s="8">
        <v>20612</v>
      </c>
    </row>
    <row r="108" spans="1:6" x14ac:dyDescent="0.4">
      <c r="A108" s="6">
        <f t="shared" si="8"/>
        <v>107</v>
      </c>
      <c r="B108" s="6" t="str">
        <f t="shared" si="7"/>
        <v>Policy107</v>
      </c>
      <c r="C108" s="7" t="s">
        <v>11</v>
      </c>
      <c r="D108" s="6">
        <v>2024</v>
      </c>
      <c r="E108" s="6">
        <v>2026</v>
      </c>
      <c r="F108" s="8">
        <v>42097</v>
      </c>
    </row>
    <row r="109" spans="1:6" x14ac:dyDescent="0.4">
      <c r="A109" s="6">
        <f t="shared" si="8"/>
        <v>108</v>
      </c>
      <c r="B109" s="6" t="str">
        <f t="shared" si="7"/>
        <v>Policy108</v>
      </c>
      <c r="C109" s="7" t="s">
        <v>12</v>
      </c>
      <c r="D109" s="6">
        <v>2025</v>
      </c>
      <c r="E109" s="6">
        <v>2026</v>
      </c>
      <c r="F109" s="8">
        <v>2805106</v>
      </c>
    </row>
    <row r="110" spans="1:6" x14ac:dyDescent="0.4">
      <c r="A110" s="6">
        <f t="shared" si="8"/>
        <v>109</v>
      </c>
      <c r="B110" s="6" t="str">
        <f t="shared" si="7"/>
        <v>Policy109</v>
      </c>
      <c r="C110" s="7" t="s">
        <v>12</v>
      </c>
      <c r="D110" s="6">
        <v>2021</v>
      </c>
      <c r="E110" s="6">
        <v>2022</v>
      </c>
      <c r="F110" s="8">
        <v>3667888</v>
      </c>
    </row>
    <row r="111" spans="1:6" x14ac:dyDescent="0.4">
      <c r="A111" s="6">
        <f t="shared" si="8"/>
        <v>110</v>
      </c>
      <c r="B111" s="6" t="str">
        <f t="shared" si="7"/>
        <v>Policy110</v>
      </c>
      <c r="C111" s="7" t="s">
        <v>12</v>
      </c>
      <c r="D111" s="6">
        <v>2022</v>
      </c>
      <c r="E111" s="6">
        <v>2023</v>
      </c>
      <c r="F111" s="8">
        <v>1107784</v>
      </c>
    </row>
    <row r="112" spans="1:6" x14ac:dyDescent="0.4">
      <c r="A112" s="6">
        <f t="shared" si="8"/>
        <v>111</v>
      </c>
      <c r="B112" s="6" t="str">
        <f t="shared" si="7"/>
        <v>Policy111</v>
      </c>
      <c r="C112" s="7" t="s">
        <v>11</v>
      </c>
      <c r="D112" s="6">
        <v>2024</v>
      </c>
      <c r="E112" s="6">
        <v>2026</v>
      </c>
      <c r="F112" s="8">
        <v>18820</v>
      </c>
    </row>
    <row r="113" spans="1:6" x14ac:dyDescent="0.4">
      <c r="A113" s="6">
        <f t="shared" si="8"/>
        <v>112</v>
      </c>
      <c r="B113" s="6" t="str">
        <f t="shared" si="7"/>
        <v>Policy112</v>
      </c>
      <c r="C113" s="7" t="s">
        <v>12</v>
      </c>
      <c r="D113" s="6">
        <v>2023</v>
      </c>
      <c r="E113" s="6">
        <v>2024</v>
      </c>
      <c r="F113" s="8">
        <v>1560103</v>
      </c>
    </row>
    <row r="114" spans="1:6" x14ac:dyDescent="0.4">
      <c r="A114" s="6">
        <f t="shared" si="8"/>
        <v>113</v>
      </c>
      <c r="B114" s="6" t="str">
        <f t="shared" si="7"/>
        <v>Policy113</v>
      </c>
      <c r="C114" s="7" t="s">
        <v>12</v>
      </c>
      <c r="D114" s="6">
        <v>2024</v>
      </c>
      <c r="E114" s="6">
        <v>2026</v>
      </c>
      <c r="F114" s="8">
        <v>836574</v>
      </c>
    </row>
    <row r="115" spans="1:6" x14ac:dyDescent="0.4">
      <c r="A115" s="6">
        <f t="shared" si="8"/>
        <v>114</v>
      </c>
      <c r="B115" s="6" t="str">
        <f t="shared" si="7"/>
        <v>Policy114</v>
      </c>
      <c r="C115" s="7" t="s">
        <v>12</v>
      </c>
      <c r="D115" s="6">
        <v>2022</v>
      </c>
      <c r="E115" s="6">
        <v>2025</v>
      </c>
      <c r="F115" s="8">
        <v>1983611</v>
      </c>
    </row>
    <row r="116" spans="1:6" x14ac:dyDescent="0.4">
      <c r="A116" s="6">
        <f t="shared" si="8"/>
        <v>115</v>
      </c>
      <c r="B116" s="6" t="str">
        <f t="shared" si="7"/>
        <v>Policy115</v>
      </c>
      <c r="C116" s="7" t="s">
        <v>12</v>
      </c>
      <c r="D116" s="6">
        <v>2023</v>
      </c>
      <c r="E116" s="6">
        <v>2026</v>
      </c>
      <c r="F116" s="8">
        <v>278766</v>
      </c>
    </row>
    <row r="117" spans="1:6" x14ac:dyDescent="0.4">
      <c r="A117" s="6">
        <f t="shared" si="8"/>
        <v>116</v>
      </c>
      <c r="B117" s="6" t="str">
        <f t="shared" si="7"/>
        <v>Policy116</v>
      </c>
      <c r="C117" s="7" t="s">
        <v>11</v>
      </c>
      <c r="D117" s="6">
        <v>2025</v>
      </c>
      <c r="E117" s="6">
        <v>2026</v>
      </c>
      <c r="F117" s="8">
        <v>40517</v>
      </c>
    </row>
    <row r="118" spans="1:6" x14ac:dyDescent="0.4">
      <c r="A118" s="6">
        <f t="shared" si="8"/>
        <v>117</v>
      </c>
      <c r="B118" s="6" t="str">
        <f t="shared" si="7"/>
        <v>Policy117</v>
      </c>
      <c r="C118" s="7" t="s">
        <v>12</v>
      </c>
      <c r="D118" s="6">
        <v>2025</v>
      </c>
      <c r="E118" s="6">
        <v>2026</v>
      </c>
      <c r="F118" s="8">
        <v>4165846</v>
      </c>
    </row>
    <row r="119" spans="1:6" x14ac:dyDescent="0.4">
      <c r="A119" s="6">
        <f t="shared" si="8"/>
        <v>118</v>
      </c>
      <c r="B119" s="6" t="str">
        <f t="shared" si="7"/>
        <v>Policy118</v>
      </c>
      <c r="C119" s="7" t="s">
        <v>11</v>
      </c>
      <c r="D119" s="6">
        <v>2021</v>
      </c>
      <c r="E119" s="6">
        <v>2023</v>
      </c>
      <c r="F119" s="8">
        <v>20972</v>
      </c>
    </row>
    <row r="120" spans="1:6" x14ac:dyDescent="0.4">
      <c r="A120" s="6">
        <f t="shared" si="8"/>
        <v>119</v>
      </c>
      <c r="B120" s="6" t="str">
        <f t="shared" si="7"/>
        <v>Policy119</v>
      </c>
      <c r="C120" s="7" t="s">
        <v>12</v>
      </c>
      <c r="D120" s="6">
        <v>2022</v>
      </c>
      <c r="E120" s="6">
        <v>2024</v>
      </c>
      <c r="F120" s="8">
        <v>3901771</v>
      </c>
    </row>
    <row r="121" spans="1:6" x14ac:dyDescent="0.4">
      <c r="A121" s="6">
        <f t="shared" si="8"/>
        <v>120</v>
      </c>
      <c r="B121" s="6" t="str">
        <f t="shared" si="7"/>
        <v>Policy120</v>
      </c>
      <c r="C121" s="7" t="s">
        <v>11</v>
      </c>
      <c r="D121" s="6">
        <v>2025</v>
      </c>
      <c r="E121" s="6">
        <v>2026</v>
      </c>
      <c r="F121" s="8">
        <v>10095</v>
      </c>
    </row>
    <row r="122" spans="1:6" x14ac:dyDescent="0.4">
      <c r="A122" s="6">
        <f t="shared" si="8"/>
        <v>121</v>
      </c>
      <c r="B122" s="6" t="str">
        <f t="shared" si="7"/>
        <v>Policy121</v>
      </c>
      <c r="C122" s="7" t="s">
        <v>11</v>
      </c>
      <c r="D122" s="6">
        <v>2021</v>
      </c>
      <c r="E122" s="6">
        <v>2026</v>
      </c>
      <c r="F122" s="8">
        <v>9863</v>
      </c>
    </row>
    <row r="123" spans="1:6" x14ac:dyDescent="0.4">
      <c r="A123" s="6">
        <f t="shared" si="8"/>
        <v>122</v>
      </c>
      <c r="B123" s="6" t="str">
        <f t="shared" si="7"/>
        <v>Policy122</v>
      </c>
      <c r="C123" s="7" t="s">
        <v>11</v>
      </c>
      <c r="D123" s="6">
        <v>2021</v>
      </c>
      <c r="E123" s="6">
        <v>2022</v>
      </c>
      <c r="F123" s="8">
        <v>20518</v>
      </c>
    </row>
    <row r="124" spans="1:6" x14ac:dyDescent="0.4">
      <c r="A124" s="6">
        <f t="shared" si="8"/>
        <v>123</v>
      </c>
      <c r="B124" s="6" t="str">
        <f t="shared" si="7"/>
        <v>Policy123</v>
      </c>
      <c r="C124" s="7" t="s">
        <v>11</v>
      </c>
      <c r="D124" s="6">
        <v>2023</v>
      </c>
      <c r="E124" s="6">
        <v>2024</v>
      </c>
      <c r="F124" s="8">
        <v>25851</v>
      </c>
    </row>
    <row r="125" spans="1:6" x14ac:dyDescent="0.4">
      <c r="A125" s="6">
        <f t="shared" si="8"/>
        <v>124</v>
      </c>
      <c r="B125" s="6" t="str">
        <f t="shared" si="7"/>
        <v>Policy124</v>
      </c>
      <c r="C125" s="7" t="s">
        <v>12</v>
      </c>
      <c r="D125" s="6">
        <v>2022</v>
      </c>
      <c r="E125" s="6">
        <v>2026</v>
      </c>
      <c r="F125" s="8">
        <v>587461</v>
      </c>
    </row>
    <row r="126" spans="1:6" x14ac:dyDescent="0.4">
      <c r="A126" s="6">
        <f t="shared" si="8"/>
        <v>125</v>
      </c>
      <c r="B126" s="6" t="str">
        <f t="shared" si="7"/>
        <v>Policy125</v>
      </c>
      <c r="C126" s="7" t="s">
        <v>11</v>
      </c>
      <c r="D126" s="6">
        <v>2022</v>
      </c>
      <c r="E126" s="6">
        <v>2023</v>
      </c>
      <c r="F126" s="8">
        <v>43056</v>
      </c>
    </row>
    <row r="127" spans="1:6" x14ac:dyDescent="0.4">
      <c r="A127" s="6">
        <f t="shared" si="8"/>
        <v>126</v>
      </c>
      <c r="B127" s="6" t="str">
        <f t="shared" si="7"/>
        <v>Policy126</v>
      </c>
      <c r="C127" s="7" t="s">
        <v>12</v>
      </c>
      <c r="D127" s="6">
        <v>2021</v>
      </c>
      <c r="E127" s="6">
        <v>2026</v>
      </c>
      <c r="F127" s="8">
        <v>2153780</v>
      </c>
    </row>
    <row r="128" spans="1:6" x14ac:dyDescent="0.4">
      <c r="A128" s="6">
        <f t="shared" si="8"/>
        <v>127</v>
      </c>
      <c r="B128" s="6" t="str">
        <f t="shared" si="7"/>
        <v>Policy127</v>
      </c>
      <c r="C128" s="7" t="s">
        <v>11</v>
      </c>
      <c r="D128" s="6">
        <v>2024</v>
      </c>
      <c r="E128" s="6">
        <v>2026</v>
      </c>
      <c r="F128" s="8">
        <v>23150</v>
      </c>
    </row>
    <row r="129" spans="1:6" x14ac:dyDescent="0.4">
      <c r="A129" s="6">
        <f t="shared" si="8"/>
        <v>128</v>
      </c>
      <c r="B129" s="6" t="str">
        <f t="shared" si="7"/>
        <v>Policy128</v>
      </c>
      <c r="C129" s="7" t="s">
        <v>11</v>
      </c>
      <c r="D129" s="6">
        <v>2022</v>
      </c>
      <c r="E129" s="6">
        <v>2026</v>
      </c>
      <c r="F129" s="8">
        <v>40842</v>
      </c>
    </row>
    <row r="130" spans="1:6" x14ac:dyDescent="0.4">
      <c r="A130" s="6">
        <f t="shared" si="8"/>
        <v>129</v>
      </c>
      <c r="B130" s="6" t="str">
        <f t="shared" si="7"/>
        <v>Policy129</v>
      </c>
      <c r="C130" s="7" t="s">
        <v>11</v>
      </c>
      <c r="D130" s="6">
        <v>2022</v>
      </c>
      <c r="E130" s="6">
        <v>2026</v>
      </c>
      <c r="F130" s="8">
        <v>36448</v>
      </c>
    </row>
    <row r="131" spans="1:6" x14ac:dyDescent="0.4">
      <c r="A131" s="6">
        <f t="shared" si="8"/>
        <v>130</v>
      </c>
      <c r="B131" s="6" t="str">
        <f t="shared" ref="B131:B194" si="9">"Policy"&amp;A131</f>
        <v>Policy130</v>
      </c>
      <c r="C131" s="7" t="s">
        <v>12</v>
      </c>
      <c r="D131" s="6">
        <v>2021</v>
      </c>
      <c r="E131" s="6">
        <v>2025</v>
      </c>
      <c r="F131" s="8">
        <v>4433236</v>
      </c>
    </row>
    <row r="132" spans="1:6" x14ac:dyDescent="0.4">
      <c r="A132" s="6">
        <f t="shared" ref="A132:A195" si="10">A131+1</f>
        <v>131</v>
      </c>
      <c r="B132" s="6" t="str">
        <f t="shared" si="9"/>
        <v>Policy131</v>
      </c>
      <c r="C132" s="7" t="s">
        <v>11</v>
      </c>
      <c r="D132" s="6">
        <v>2025</v>
      </c>
      <c r="E132" s="6">
        <v>2026</v>
      </c>
      <c r="F132" s="8">
        <v>16718</v>
      </c>
    </row>
    <row r="133" spans="1:6" x14ac:dyDescent="0.4">
      <c r="A133" s="6">
        <f t="shared" si="10"/>
        <v>132</v>
      </c>
      <c r="B133" s="6" t="str">
        <f t="shared" si="9"/>
        <v>Policy132</v>
      </c>
      <c r="C133" s="7" t="s">
        <v>11</v>
      </c>
      <c r="D133" s="6">
        <v>2025</v>
      </c>
      <c r="E133" s="6">
        <v>2026</v>
      </c>
      <c r="F133" s="8">
        <v>18049</v>
      </c>
    </row>
    <row r="134" spans="1:6" x14ac:dyDescent="0.4">
      <c r="A134" s="6">
        <f t="shared" si="10"/>
        <v>133</v>
      </c>
      <c r="B134" s="6" t="str">
        <f t="shared" si="9"/>
        <v>Policy133</v>
      </c>
      <c r="C134" s="7" t="s">
        <v>11</v>
      </c>
      <c r="D134" s="6">
        <v>2025</v>
      </c>
      <c r="E134" s="6">
        <v>2026</v>
      </c>
      <c r="F134" s="8">
        <v>205</v>
      </c>
    </row>
    <row r="135" spans="1:6" x14ac:dyDescent="0.4">
      <c r="A135" s="6">
        <f t="shared" si="10"/>
        <v>134</v>
      </c>
      <c r="B135" s="6" t="str">
        <f t="shared" si="9"/>
        <v>Policy134</v>
      </c>
      <c r="C135" s="7" t="s">
        <v>12</v>
      </c>
      <c r="D135" s="6">
        <v>2022</v>
      </c>
      <c r="E135" s="6">
        <v>2025</v>
      </c>
      <c r="F135" s="8">
        <v>1513047</v>
      </c>
    </row>
    <row r="136" spans="1:6" x14ac:dyDescent="0.4">
      <c r="A136" s="6">
        <f t="shared" si="10"/>
        <v>135</v>
      </c>
      <c r="B136" s="6" t="str">
        <f t="shared" si="9"/>
        <v>Policy135</v>
      </c>
      <c r="C136" s="7" t="s">
        <v>12</v>
      </c>
      <c r="D136" s="6">
        <v>2023</v>
      </c>
      <c r="E136" s="6">
        <v>2024</v>
      </c>
      <c r="F136" s="8">
        <v>4917000</v>
      </c>
    </row>
    <row r="137" spans="1:6" x14ac:dyDescent="0.4">
      <c r="A137" s="6">
        <f t="shared" si="10"/>
        <v>136</v>
      </c>
      <c r="B137" s="6" t="str">
        <f t="shared" si="9"/>
        <v>Policy136</v>
      </c>
      <c r="C137" s="7" t="s">
        <v>12</v>
      </c>
      <c r="D137" s="6">
        <v>2023</v>
      </c>
      <c r="E137" s="6">
        <v>2025</v>
      </c>
      <c r="F137" s="8">
        <v>1319715</v>
      </c>
    </row>
    <row r="138" spans="1:6" x14ac:dyDescent="0.4">
      <c r="A138" s="6">
        <f t="shared" si="10"/>
        <v>137</v>
      </c>
      <c r="B138" s="6" t="str">
        <f t="shared" si="9"/>
        <v>Policy137</v>
      </c>
      <c r="C138" s="7" t="s">
        <v>12</v>
      </c>
      <c r="D138" s="6">
        <v>2021</v>
      </c>
      <c r="E138" s="6">
        <v>2025</v>
      </c>
      <c r="F138" s="8">
        <v>3697621</v>
      </c>
    </row>
    <row r="139" spans="1:6" x14ac:dyDescent="0.4">
      <c r="A139" s="6">
        <f t="shared" si="10"/>
        <v>138</v>
      </c>
      <c r="B139" s="6" t="str">
        <f t="shared" si="9"/>
        <v>Policy138</v>
      </c>
      <c r="C139" s="7" t="s">
        <v>11</v>
      </c>
      <c r="D139" s="6">
        <v>2025</v>
      </c>
      <c r="E139" s="6">
        <v>2026</v>
      </c>
      <c r="F139" s="8">
        <v>33471</v>
      </c>
    </row>
    <row r="140" spans="1:6" x14ac:dyDescent="0.4">
      <c r="A140" s="6">
        <f t="shared" si="10"/>
        <v>139</v>
      </c>
      <c r="B140" s="6" t="str">
        <f t="shared" si="9"/>
        <v>Policy139</v>
      </c>
      <c r="C140" s="7" t="s">
        <v>12</v>
      </c>
      <c r="D140" s="6">
        <v>2021</v>
      </c>
      <c r="E140" s="6">
        <v>2026</v>
      </c>
      <c r="F140" s="8">
        <v>4083337</v>
      </c>
    </row>
    <row r="141" spans="1:6" x14ac:dyDescent="0.4">
      <c r="A141" s="6">
        <f t="shared" si="10"/>
        <v>140</v>
      </c>
      <c r="B141" s="6" t="str">
        <f t="shared" si="9"/>
        <v>Policy140</v>
      </c>
      <c r="C141" s="7" t="s">
        <v>11</v>
      </c>
      <c r="D141" s="6">
        <v>2024</v>
      </c>
      <c r="E141" s="6">
        <v>2025</v>
      </c>
      <c r="F141" s="8">
        <v>33260</v>
      </c>
    </row>
    <row r="142" spans="1:6" x14ac:dyDescent="0.4">
      <c r="A142" s="6">
        <f t="shared" si="10"/>
        <v>141</v>
      </c>
      <c r="B142" s="6" t="str">
        <f t="shared" si="9"/>
        <v>Policy141</v>
      </c>
      <c r="C142" s="7" t="s">
        <v>11</v>
      </c>
      <c r="D142" s="6">
        <v>2024</v>
      </c>
      <c r="E142" s="6">
        <v>2025</v>
      </c>
      <c r="F142" s="8">
        <v>41598</v>
      </c>
    </row>
    <row r="143" spans="1:6" x14ac:dyDescent="0.4">
      <c r="A143" s="6">
        <f t="shared" si="10"/>
        <v>142</v>
      </c>
      <c r="B143" s="6" t="str">
        <f t="shared" si="9"/>
        <v>Policy142</v>
      </c>
      <c r="C143" s="7" t="s">
        <v>11</v>
      </c>
      <c r="D143" s="6">
        <v>2024</v>
      </c>
      <c r="E143" s="6">
        <v>2025</v>
      </c>
      <c r="F143" s="8">
        <v>9287</v>
      </c>
    </row>
    <row r="144" spans="1:6" x14ac:dyDescent="0.4">
      <c r="A144" s="6">
        <f t="shared" si="10"/>
        <v>143</v>
      </c>
      <c r="B144" s="6" t="str">
        <f t="shared" si="9"/>
        <v>Policy143</v>
      </c>
      <c r="C144" s="7" t="s">
        <v>12</v>
      </c>
      <c r="D144" s="6">
        <v>2021</v>
      </c>
      <c r="E144" s="6">
        <v>2023</v>
      </c>
      <c r="F144" s="8">
        <v>2549060</v>
      </c>
    </row>
    <row r="145" spans="1:6" x14ac:dyDescent="0.4">
      <c r="A145" s="6">
        <f t="shared" si="10"/>
        <v>144</v>
      </c>
      <c r="B145" s="6" t="str">
        <f t="shared" si="9"/>
        <v>Policy144</v>
      </c>
      <c r="C145" s="7" t="s">
        <v>11</v>
      </c>
      <c r="D145" s="6">
        <v>2023</v>
      </c>
      <c r="E145" s="6">
        <v>2024</v>
      </c>
      <c r="F145" s="8">
        <v>47992</v>
      </c>
    </row>
    <row r="146" spans="1:6" x14ac:dyDescent="0.4">
      <c r="A146" s="6">
        <f t="shared" si="10"/>
        <v>145</v>
      </c>
      <c r="B146" s="6" t="str">
        <f t="shared" si="9"/>
        <v>Policy145</v>
      </c>
      <c r="C146" s="7" t="s">
        <v>11</v>
      </c>
      <c r="D146" s="6">
        <v>2025</v>
      </c>
      <c r="E146" s="6">
        <v>2026</v>
      </c>
      <c r="F146" s="8">
        <v>29566</v>
      </c>
    </row>
    <row r="147" spans="1:6" x14ac:dyDescent="0.4">
      <c r="A147" s="6">
        <f t="shared" si="10"/>
        <v>146</v>
      </c>
      <c r="B147" s="6" t="str">
        <f t="shared" si="9"/>
        <v>Policy146</v>
      </c>
      <c r="C147" s="7" t="s">
        <v>12</v>
      </c>
      <c r="D147" s="6">
        <v>2021</v>
      </c>
      <c r="E147" s="6">
        <v>2022</v>
      </c>
      <c r="F147" s="8">
        <v>2026808</v>
      </c>
    </row>
    <row r="148" spans="1:6" x14ac:dyDescent="0.4">
      <c r="A148" s="6">
        <f t="shared" si="10"/>
        <v>147</v>
      </c>
      <c r="B148" s="6" t="str">
        <f t="shared" si="9"/>
        <v>Policy147</v>
      </c>
      <c r="C148" s="7" t="s">
        <v>11</v>
      </c>
      <c r="D148" s="6">
        <v>2021</v>
      </c>
      <c r="E148" s="6">
        <v>2022</v>
      </c>
      <c r="F148" s="8">
        <v>4010</v>
      </c>
    </row>
    <row r="149" spans="1:6" x14ac:dyDescent="0.4">
      <c r="A149" s="6">
        <f t="shared" si="10"/>
        <v>148</v>
      </c>
      <c r="B149" s="6" t="str">
        <f t="shared" si="9"/>
        <v>Policy148</v>
      </c>
      <c r="C149" s="7" t="s">
        <v>12</v>
      </c>
      <c r="D149" s="6">
        <v>2025</v>
      </c>
      <c r="E149" s="6">
        <v>2026</v>
      </c>
      <c r="F149" s="8">
        <v>4304902</v>
      </c>
    </row>
    <row r="150" spans="1:6" x14ac:dyDescent="0.4">
      <c r="A150" s="6">
        <f t="shared" si="10"/>
        <v>149</v>
      </c>
      <c r="B150" s="6" t="str">
        <f t="shared" si="9"/>
        <v>Policy149</v>
      </c>
      <c r="C150" s="7" t="s">
        <v>11</v>
      </c>
      <c r="D150" s="6">
        <v>2025</v>
      </c>
      <c r="E150" s="6">
        <v>2026</v>
      </c>
      <c r="F150" s="8">
        <v>17974</v>
      </c>
    </row>
    <row r="151" spans="1:6" x14ac:dyDescent="0.4">
      <c r="A151" s="6">
        <f t="shared" si="10"/>
        <v>150</v>
      </c>
      <c r="B151" s="6" t="str">
        <f t="shared" si="9"/>
        <v>Policy150</v>
      </c>
      <c r="C151" s="7" t="s">
        <v>11</v>
      </c>
      <c r="D151" s="6">
        <v>2023</v>
      </c>
      <c r="E151" s="6">
        <v>2024</v>
      </c>
      <c r="F151" s="8">
        <v>45815</v>
      </c>
    </row>
    <row r="152" spans="1:6" x14ac:dyDescent="0.4">
      <c r="A152" s="6">
        <f t="shared" si="10"/>
        <v>151</v>
      </c>
      <c r="B152" s="6" t="str">
        <f t="shared" si="9"/>
        <v>Policy151</v>
      </c>
      <c r="C152" s="7" t="s">
        <v>11</v>
      </c>
      <c r="D152" s="6">
        <v>2024</v>
      </c>
      <c r="E152" s="6">
        <v>2026</v>
      </c>
      <c r="F152" s="8">
        <v>20517</v>
      </c>
    </row>
    <row r="153" spans="1:6" x14ac:dyDescent="0.4">
      <c r="A153" s="6">
        <f t="shared" si="10"/>
        <v>152</v>
      </c>
      <c r="B153" s="6" t="str">
        <f t="shared" si="9"/>
        <v>Policy152</v>
      </c>
      <c r="C153" s="7" t="s">
        <v>11</v>
      </c>
      <c r="D153" s="6">
        <v>2023</v>
      </c>
      <c r="E153" s="6">
        <v>2024</v>
      </c>
      <c r="F153" s="8">
        <v>20197</v>
      </c>
    </row>
    <row r="154" spans="1:6" x14ac:dyDescent="0.4">
      <c r="A154" s="6">
        <f t="shared" si="10"/>
        <v>153</v>
      </c>
      <c r="B154" s="6" t="str">
        <f t="shared" si="9"/>
        <v>Policy153</v>
      </c>
      <c r="C154" s="7" t="s">
        <v>12</v>
      </c>
      <c r="D154" s="6">
        <v>2023</v>
      </c>
      <c r="E154" s="6">
        <v>2024</v>
      </c>
      <c r="F154" s="8">
        <v>3483793</v>
      </c>
    </row>
    <row r="155" spans="1:6" x14ac:dyDescent="0.4">
      <c r="A155" s="6">
        <f t="shared" si="10"/>
        <v>154</v>
      </c>
      <c r="B155" s="6" t="str">
        <f t="shared" si="9"/>
        <v>Policy154</v>
      </c>
      <c r="C155" s="7" t="s">
        <v>11</v>
      </c>
      <c r="D155" s="6">
        <v>2021</v>
      </c>
      <c r="E155" s="6">
        <v>2024</v>
      </c>
      <c r="F155" s="8">
        <v>7248</v>
      </c>
    </row>
    <row r="156" spans="1:6" x14ac:dyDescent="0.4">
      <c r="A156" s="6">
        <f t="shared" si="10"/>
        <v>155</v>
      </c>
      <c r="B156" s="6" t="str">
        <f t="shared" si="9"/>
        <v>Policy155</v>
      </c>
      <c r="C156" s="7" t="s">
        <v>11</v>
      </c>
      <c r="D156" s="6">
        <v>2024</v>
      </c>
      <c r="E156" s="6">
        <v>2026</v>
      </c>
      <c r="F156" s="8">
        <v>9801</v>
      </c>
    </row>
    <row r="157" spans="1:6" x14ac:dyDescent="0.4">
      <c r="A157" s="6">
        <f t="shared" si="10"/>
        <v>156</v>
      </c>
      <c r="B157" s="6" t="str">
        <f t="shared" si="9"/>
        <v>Policy156</v>
      </c>
      <c r="C157" s="7" t="s">
        <v>11</v>
      </c>
      <c r="D157" s="6">
        <v>2022</v>
      </c>
      <c r="E157" s="6">
        <v>2026</v>
      </c>
      <c r="F157" s="8">
        <v>13443</v>
      </c>
    </row>
    <row r="158" spans="1:6" x14ac:dyDescent="0.4">
      <c r="A158" s="6">
        <f t="shared" si="10"/>
        <v>157</v>
      </c>
      <c r="B158" s="6" t="str">
        <f t="shared" si="9"/>
        <v>Policy157</v>
      </c>
      <c r="C158" s="7" t="s">
        <v>11</v>
      </c>
      <c r="D158" s="6">
        <v>2021</v>
      </c>
      <c r="E158" s="6">
        <v>2026</v>
      </c>
      <c r="F158" s="8">
        <v>3752</v>
      </c>
    </row>
    <row r="159" spans="1:6" x14ac:dyDescent="0.4">
      <c r="A159" s="6">
        <f t="shared" si="10"/>
        <v>158</v>
      </c>
      <c r="B159" s="6" t="str">
        <f t="shared" si="9"/>
        <v>Policy158</v>
      </c>
      <c r="C159" s="7" t="s">
        <v>11</v>
      </c>
      <c r="D159" s="6">
        <v>2023</v>
      </c>
      <c r="E159" s="6">
        <v>2025</v>
      </c>
      <c r="F159" s="8">
        <v>18639</v>
      </c>
    </row>
    <row r="160" spans="1:6" x14ac:dyDescent="0.4">
      <c r="A160" s="6">
        <f t="shared" si="10"/>
        <v>159</v>
      </c>
      <c r="B160" s="6" t="str">
        <f t="shared" si="9"/>
        <v>Policy159</v>
      </c>
      <c r="C160" s="7" t="s">
        <v>11</v>
      </c>
      <c r="D160" s="6">
        <v>2025</v>
      </c>
      <c r="E160" s="6">
        <v>2026</v>
      </c>
      <c r="F160" s="8">
        <v>21789</v>
      </c>
    </row>
    <row r="161" spans="1:6" x14ac:dyDescent="0.4">
      <c r="A161" s="6">
        <f t="shared" si="10"/>
        <v>160</v>
      </c>
      <c r="B161" s="6" t="str">
        <f t="shared" si="9"/>
        <v>Policy160</v>
      </c>
      <c r="C161" s="7" t="s">
        <v>12</v>
      </c>
      <c r="D161" s="6">
        <v>2021</v>
      </c>
      <c r="E161" s="6">
        <v>2025</v>
      </c>
      <c r="F161" s="8">
        <v>4702559</v>
      </c>
    </row>
    <row r="162" spans="1:6" x14ac:dyDescent="0.4">
      <c r="A162" s="6">
        <f t="shared" si="10"/>
        <v>161</v>
      </c>
      <c r="B162" s="6" t="str">
        <f t="shared" si="9"/>
        <v>Policy161</v>
      </c>
      <c r="C162" s="7" t="s">
        <v>11</v>
      </c>
      <c r="D162" s="6">
        <v>2024</v>
      </c>
      <c r="E162" s="6">
        <v>2025</v>
      </c>
      <c r="F162" s="8">
        <v>21923</v>
      </c>
    </row>
    <row r="163" spans="1:6" x14ac:dyDescent="0.4">
      <c r="A163" s="6">
        <f t="shared" si="10"/>
        <v>162</v>
      </c>
      <c r="B163" s="6" t="str">
        <f t="shared" si="9"/>
        <v>Policy162</v>
      </c>
      <c r="C163" s="7" t="s">
        <v>11</v>
      </c>
      <c r="D163" s="6">
        <v>2021</v>
      </c>
      <c r="E163" s="6">
        <v>2026</v>
      </c>
      <c r="F163" s="8">
        <v>24010</v>
      </c>
    </row>
    <row r="164" spans="1:6" x14ac:dyDescent="0.4">
      <c r="A164" s="6">
        <f t="shared" si="10"/>
        <v>163</v>
      </c>
      <c r="B164" s="6" t="str">
        <f t="shared" si="9"/>
        <v>Policy163</v>
      </c>
      <c r="C164" s="7" t="s">
        <v>11</v>
      </c>
      <c r="D164" s="6">
        <v>2022</v>
      </c>
      <c r="E164" s="6">
        <v>2023</v>
      </c>
      <c r="F164" s="8">
        <v>13583</v>
      </c>
    </row>
    <row r="165" spans="1:6" x14ac:dyDescent="0.4">
      <c r="A165" s="6">
        <f t="shared" si="10"/>
        <v>164</v>
      </c>
      <c r="B165" s="6" t="str">
        <f t="shared" si="9"/>
        <v>Policy164</v>
      </c>
      <c r="C165" s="7" t="s">
        <v>11</v>
      </c>
      <c r="D165" s="6">
        <v>2021</v>
      </c>
      <c r="E165" s="6">
        <v>2026</v>
      </c>
      <c r="F165" s="8">
        <v>25283</v>
      </c>
    </row>
    <row r="166" spans="1:6" x14ac:dyDescent="0.4">
      <c r="A166" s="6">
        <f t="shared" si="10"/>
        <v>165</v>
      </c>
      <c r="B166" s="6" t="str">
        <f t="shared" si="9"/>
        <v>Policy165</v>
      </c>
      <c r="C166" s="7" t="s">
        <v>11</v>
      </c>
      <c r="D166" s="6">
        <v>2023</v>
      </c>
      <c r="E166" s="6">
        <v>2025</v>
      </c>
      <c r="F166" s="8">
        <v>37261</v>
      </c>
    </row>
    <row r="167" spans="1:6" x14ac:dyDescent="0.4">
      <c r="A167" s="6">
        <f t="shared" si="10"/>
        <v>166</v>
      </c>
      <c r="B167" s="6" t="str">
        <f t="shared" si="9"/>
        <v>Policy166</v>
      </c>
      <c r="C167" s="7" t="s">
        <v>11</v>
      </c>
      <c r="D167" s="6">
        <v>2023</v>
      </c>
      <c r="E167" s="6">
        <v>2024</v>
      </c>
      <c r="F167" s="8">
        <v>44390</v>
      </c>
    </row>
    <row r="168" spans="1:6" x14ac:dyDescent="0.4">
      <c r="A168" s="6">
        <f t="shared" si="10"/>
        <v>167</v>
      </c>
      <c r="B168" s="6" t="str">
        <f t="shared" si="9"/>
        <v>Policy167</v>
      </c>
      <c r="C168" s="7" t="s">
        <v>12</v>
      </c>
      <c r="D168" s="6">
        <v>2021</v>
      </c>
      <c r="E168" s="6">
        <v>2024</v>
      </c>
      <c r="F168" s="8">
        <v>2291576</v>
      </c>
    </row>
    <row r="169" spans="1:6" x14ac:dyDescent="0.4">
      <c r="A169" s="6">
        <f t="shared" si="10"/>
        <v>168</v>
      </c>
      <c r="B169" s="6" t="str">
        <f t="shared" si="9"/>
        <v>Policy168</v>
      </c>
      <c r="C169" s="7" t="s">
        <v>12</v>
      </c>
      <c r="D169" s="6">
        <v>2025</v>
      </c>
      <c r="E169" s="6">
        <v>2026</v>
      </c>
      <c r="F169" s="8">
        <v>707082</v>
      </c>
    </row>
    <row r="170" spans="1:6" x14ac:dyDescent="0.4">
      <c r="A170" s="6">
        <f t="shared" si="10"/>
        <v>169</v>
      </c>
      <c r="B170" s="6" t="str">
        <f t="shared" si="9"/>
        <v>Policy169</v>
      </c>
      <c r="C170" s="7" t="s">
        <v>12</v>
      </c>
      <c r="D170" s="6">
        <v>2024</v>
      </c>
      <c r="E170" s="6">
        <v>2025</v>
      </c>
      <c r="F170" s="8">
        <v>3148965</v>
      </c>
    </row>
    <row r="171" spans="1:6" x14ac:dyDescent="0.4">
      <c r="A171" s="6">
        <f t="shared" si="10"/>
        <v>170</v>
      </c>
      <c r="B171" s="6" t="str">
        <f t="shared" si="9"/>
        <v>Policy170</v>
      </c>
      <c r="C171" s="7" t="s">
        <v>11</v>
      </c>
      <c r="D171" s="6">
        <v>2025</v>
      </c>
      <c r="E171" s="6">
        <v>2026</v>
      </c>
      <c r="F171" s="8">
        <v>24464</v>
      </c>
    </row>
    <row r="172" spans="1:6" x14ac:dyDescent="0.4">
      <c r="A172" s="6">
        <f t="shared" si="10"/>
        <v>171</v>
      </c>
      <c r="B172" s="6" t="str">
        <f t="shared" si="9"/>
        <v>Policy171</v>
      </c>
      <c r="C172" s="7" t="s">
        <v>11</v>
      </c>
      <c r="D172" s="6">
        <v>2024</v>
      </c>
      <c r="E172" s="6">
        <v>2026</v>
      </c>
      <c r="F172" s="8">
        <v>2672</v>
      </c>
    </row>
    <row r="173" spans="1:6" x14ac:dyDescent="0.4">
      <c r="A173" s="6">
        <f t="shared" si="10"/>
        <v>172</v>
      </c>
      <c r="B173" s="6" t="str">
        <f t="shared" si="9"/>
        <v>Policy172</v>
      </c>
      <c r="C173" s="7" t="s">
        <v>12</v>
      </c>
      <c r="D173" s="6">
        <v>2023</v>
      </c>
      <c r="E173" s="6">
        <v>2025</v>
      </c>
      <c r="F173" s="8">
        <v>1970242</v>
      </c>
    </row>
    <row r="174" spans="1:6" x14ac:dyDescent="0.4">
      <c r="A174" s="6">
        <f t="shared" si="10"/>
        <v>173</v>
      </c>
      <c r="B174" s="6" t="str">
        <f t="shared" si="9"/>
        <v>Policy173</v>
      </c>
      <c r="C174" s="7" t="s">
        <v>12</v>
      </c>
      <c r="D174" s="6">
        <v>2022</v>
      </c>
      <c r="E174" s="6">
        <v>2025</v>
      </c>
      <c r="F174" s="8">
        <v>1177239</v>
      </c>
    </row>
    <row r="175" spans="1:6" x14ac:dyDescent="0.4">
      <c r="A175" s="6">
        <f t="shared" si="10"/>
        <v>174</v>
      </c>
      <c r="B175" s="6" t="str">
        <f t="shared" si="9"/>
        <v>Policy174</v>
      </c>
      <c r="C175" s="7" t="s">
        <v>12</v>
      </c>
      <c r="D175" s="6">
        <v>2024</v>
      </c>
      <c r="E175" s="6">
        <v>2026</v>
      </c>
      <c r="F175" s="8">
        <v>4574516</v>
      </c>
    </row>
    <row r="176" spans="1:6" x14ac:dyDescent="0.4">
      <c r="A176" s="6">
        <f t="shared" si="10"/>
        <v>175</v>
      </c>
      <c r="B176" s="6" t="str">
        <f t="shared" si="9"/>
        <v>Policy175</v>
      </c>
      <c r="C176" s="7" t="s">
        <v>11</v>
      </c>
      <c r="D176" s="6">
        <v>2024</v>
      </c>
      <c r="E176" s="6">
        <v>2026</v>
      </c>
      <c r="F176" s="8">
        <v>44198</v>
      </c>
    </row>
    <row r="177" spans="1:6" x14ac:dyDescent="0.4">
      <c r="A177" s="6">
        <f t="shared" si="10"/>
        <v>176</v>
      </c>
      <c r="B177" s="6" t="str">
        <f t="shared" si="9"/>
        <v>Policy176</v>
      </c>
      <c r="C177" s="7" t="s">
        <v>11</v>
      </c>
      <c r="D177" s="6">
        <v>2025</v>
      </c>
      <c r="E177" s="6">
        <v>2026</v>
      </c>
      <c r="F177" s="8">
        <v>44250</v>
      </c>
    </row>
    <row r="178" spans="1:6" x14ac:dyDescent="0.4">
      <c r="A178" s="6">
        <f t="shared" si="10"/>
        <v>177</v>
      </c>
      <c r="B178" s="6" t="str">
        <f t="shared" si="9"/>
        <v>Policy177</v>
      </c>
      <c r="C178" s="7" t="s">
        <v>11</v>
      </c>
      <c r="D178" s="6">
        <v>2022</v>
      </c>
      <c r="E178" s="6">
        <v>2024</v>
      </c>
      <c r="F178" s="8">
        <v>27647</v>
      </c>
    </row>
    <row r="179" spans="1:6" x14ac:dyDescent="0.4">
      <c r="A179" s="6">
        <f t="shared" si="10"/>
        <v>178</v>
      </c>
      <c r="B179" s="6" t="str">
        <f t="shared" si="9"/>
        <v>Policy178</v>
      </c>
      <c r="C179" s="7" t="s">
        <v>12</v>
      </c>
      <c r="D179" s="6">
        <v>2025</v>
      </c>
      <c r="E179" s="6">
        <v>2026</v>
      </c>
      <c r="F179" s="8">
        <v>425381</v>
      </c>
    </row>
    <row r="180" spans="1:6" x14ac:dyDescent="0.4">
      <c r="A180" s="6">
        <f t="shared" si="10"/>
        <v>179</v>
      </c>
      <c r="B180" s="6" t="str">
        <f t="shared" si="9"/>
        <v>Policy179</v>
      </c>
      <c r="C180" s="7" t="s">
        <v>11</v>
      </c>
      <c r="D180" s="6">
        <v>2023</v>
      </c>
      <c r="E180" s="6">
        <v>2026</v>
      </c>
      <c r="F180" s="8">
        <v>6685</v>
      </c>
    </row>
    <row r="181" spans="1:6" x14ac:dyDescent="0.4">
      <c r="A181" s="6">
        <f t="shared" si="10"/>
        <v>180</v>
      </c>
      <c r="B181" s="6" t="str">
        <f t="shared" si="9"/>
        <v>Policy180</v>
      </c>
      <c r="C181" s="7" t="s">
        <v>12</v>
      </c>
      <c r="D181" s="6">
        <v>2021</v>
      </c>
      <c r="E181" s="6">
        <v>2022</v>
      </c>
      <c r="F181" s="8">
        <v>3019449</v>
      </c>
    </row>
    <row r="182" spans="1:6" x14ac:dyDescent="0.4">
      <c r="A182" s="6">
        <f t="shared" si="10"/>
        <v>181</v>
      </c>
      <c r="B182" s="6" t="str">
        <f t="shared" si="9"/>
        <v>Policy181</v>
      </c>
      <c r="C182" s="7" t="s">
        <v>11</v>
      </c>
      <c r="D182" s="6">
        <v>2025</v>
      </c>
      <c r="E182" s="6">
        <v>2026</v>
      </c>
      <c r="F182" s="8">
        <v>45983</v>
      </c>
    </row>
    <row r="183" spans="1:6" x14ac:dyDescent="0.4">
      <c r="A183" s="6">
        <f t="shared" si="10"/>
        <v>182</v>
      </c>
      <c r="B183" s="6" t="str">
        <f t="shared" si="9"/>
        <v>Policy182</v>
      </c>
      <c r="C183" s="7" t="s">
        <v>12</v>
      </c>
      <c r="D183" s="6">
        <v>2023</v>
      </c>
      <c r="E183" s="6">
        <v>2025</v>
      </c>
      <c r="F183" s="8">
        <v>2103783</v>
      </c>
    </row>
    <row r="184" spans="1:6" x14ac:dyDescent="0.4">
      <c r="A184" s="6">
        <f t="shared" si="10"/>
        <v>183</v>
      </c>
      <c r="B184" s="6" t="str">
        <f t="shared" si="9"/>
        <v>Policy183</v>
      </c>
      <c r="C184" s="7" t="s">
        <v>11</v>
      </c>
      <c r="D184" s="6">
        <v>2023</v>
      </c>
      <c r="E184" s="6">
        <v>2026</v>
      </c>
      <c r="F184" s="8">
        <v>2099</v>
      </c>
    </row>
    <row r="185" spans="1:6" x14ac:dyDescent="0.4">
      <c r="A185" s="6">
        <f t="shared" si="10"/>
        <v>184</v>
      </c>
      <c r="B185" s="6" t="str">
        <f t="shared" si="9"/>
        <v>Policy184</v>
      </c>
      <c r="C185" s="7" t="s">
        <v>12</v>
      </c>
      <c r="D185" s="6">
        <v>2025</v>
      </c>
      <c r="E185" s="6">
        <v>2026</v>
      </c>
      <c r="F185" s="8">
        <v>959321</v>
      </c>
    </row>
    <row r="186" spans="1:6" x14ac:dyDescent="0.4">
      <c r="A186" s="6">
        <f t="shared" si="10"/>
        <v>185</v>
      </c>
      <c r="B186" s="6" t="str">
        <f t="shared" si="9"/>
        <v>Policy185</v>
      </c>
      <c r="C186" s="7" t="s">
        <v>11</v>
      </c>
      <c r="D186" s="6">
        <v>2022</v>
      </c>
      <c r="E186" s="6">
        <v>2026</v>
      </c>
      <c r="F186" s="8">
        <v>18820</v>
      </c>
    </row>
    <row r="187" spans="1:6" x14ac:dyDescent="0.4">
      <c r="A187" s="6">
        <f t="shared" si="10"/>
        <v>186</v>
      </c>
      <c r="B187" s="6" t="str">
        <f t="shared" si="9"/>
        <v>Policy186</v>
      </c>
      <c r="C187" s="7" t="s">
        <v>12</v>
      </c>
      <c r="D187" s="6">
        <v>2021</v>
      </c>
      <c r="E187" s="6">
        <v>2026</v>
      </c>
      <c r="F187" s="8">
        <v>695916</v>
      </c>
    </row>
    <row r="188" spans="1:6" x14ac:dyDescent="0.4">
      <c r="A188" s="6">
        <f t="shared" si="10"/>
        <v>187</v>
      </c>
      <c r="B188" s="6" t="str">
        <f t="shared" si="9"/>
        <v>Policy187</v>
      </c>
      <c r="C188" s="7" t="s">
        <v>11</v>
      </c>
      <c r="D188" s="6">
        <v>2025</v>
      </c>
      <c r="E188" s="6">
        <v>2026</v>
      </c>
      <c r="F188" s="8">
        <v>3672</v>
      </c>
    </row>
    <row r="189" spans="1:6" x14ac:dyDescent="0.4">
      <c r="A189" s="6">
        <f t="shared" si="10"/>
        <v>188</v>
      </c>
      <c r="B189" s="6" t="str">
        <f t="shared" si="9"/>
        <v>Policy188</v>
      </c>
      <c r="C189" s="7" t="s">
        <v>11</v>
      </c>
      <c r="D189" s="6">
        <v>2025</v>
      </c>
      <c r="E189" s="6">
        <v>2026</v>
      </c>
      <c r="F189" s="8">
        <v>15690</v>
      </c>
    </row>
    <row r="190" spans="1:6" x14ac:dyDescent="0.4">
      <c r="A190" s="6">
        <f t="shared" si="10"/>
        <v>189</v>
      </c>
      <c r="B190" s="6" t="str">
        <f t="shared" si="9"/>
        <v>Policy189</v>
      </c>
      <c r="C190" s="7" t="s">
        <v>12</v>
      </c>
      <c r="D190" s="6">
        <v>2023</v>
      </c>
      <c r="E190" s="6">
        <v>2026</v>
      </c>
      <c r="F190" s="8">
        <v>76386</v>
      </c>
    </row>
    <row r="191" spans="1:6" x14ac:dyDescent="0.4">
      <c r="A191" s="6">
        <f t="shared" si="10"/>
        <v>190</v>
      </c>
      <c r="B191" s="6" t="str">
        <f t="shared" si="9"/>
        <v>Policy190</v>
      </c>
      <c r="C191" s="7" t="s">
        <v>11</v>
      </c>
      <c r="D191" s="6">
        <v>2022</v>
      </c>
      <c r="E191" s="6">
        <v>2025</v>
      </c>
      <c r="F191" s="8">
        <v>9136</v>
      </c>
    </row>
    <row r="192" spans="1:6" x14ac:dyDescent="0.4">
      <c r="A192" s="6">
        <f t="shared" si="10"/>
        <v>191</v>
      </c>
      <c r="B192" s="6" t="str">
        <f t="shared" si="9"/>
        <v>Policy191</v>
      </c>
      <c r="C192" s="7" t="s">
        <v>12</v>
      </c>
      <c r="D192" s="6">
        <v>2023</v>
      </c>
      <c r="E192" s="6">
        <v>2026</v>
      </c>
      <c r="F192" s="8">
        <v>3511559</v>
      </c>
    </row>
    <row r="193" spans="1:6" x14ac:dyDescent="0.4">
      <c r="A193" s="6">
        <f t="shared" si="10"/>
        <v>192</v>
      </c>
      <c r="B193" s="6" t="str">
        <f t="shared" si="9"/>
        <v>Policy192</v>
      </c>
      <c r="C193" s="7" t="s">
        <v>11</v>
      </c>
      <c r="D193" s="6">
        <v>2021</v>
      </c>
      <c r="E193" s="6">
        <v>2024</v>
      </c>
      <c r="F193" s="8">
        <v>1078</v>
      </c>
    </row>
    <row r="194" spans="1:6" x14ac:dyDescent="0.4">
      <c r="A194" s="6">
        <f t="shared" si="10"/>
        <v>193</v>
      </c>
      <c r="B194" s="6" t="str">
        <f t="shared" si="9"/>
        <v>Policy193</v>
      </c>
      <c r="C194" s="7" t="s">
        <v>11</v>
      </c>
      <c r="D194" s="6">
        <v>2025</v>
      </c>
      <c r="E194" s="6">
        <v>2026</v>
      </c>
      <c r="F194" s="8">
        <v>49388</v>
      </c>
    </row>
    <row r="195" spans="1:6" x14ac:dyDescent="0.4">
      <c r="A195" s="6">
        <f t="shared" si="10"/>
        <v>194</v>
      </c>
      <c r="B195" s="6" t="str">
        <f t="shared" ref="B195:B258" si="11">"Policy"&amp;A195</f>
        <v>Policy194</v>
      </c>
      <c r="C195" s="7" t="s">
        <v>12</v>
      </c>
      <c r="D195" s="6">
        <v>2023</v>
      </c>
      <c r="E195" s="6">
        <v>2025</v>
      </c>
      <c r="F195" s="8">
        <v>990703</v>
      </c>
    </row>
    <row r="196" spans="1:6" x14ac:dyDescent="0.4">
      <c r="A196" s="6">
        <f t="shared" ref="A196:A259" si="12">A195+1</f>
        <v>195</v>
      </c>
      <c r="B196" s="6" t="str">
        <f t="shared" si="11"/>
        <v>Policy195</v>
      </c>
      <c r="C196" s="7" t="s">
        <v>12</v>
      </c>
      <c r="D196" s="6">
        <v>2021</v>
      </c>
      <c r="E196" s="6">
        <v>2022</v>
      </c>
      <c r="F196" s="8">
        <v>2699373</v>
      </c>
    </row>
    <row r="197" spans="1:6" x14ac:dyDescent="0.4">
      <c r="A197" s="6">
        <f t="shared" si="12"/>
        <v>196</v>
      </c>
      <c r="B197" s="6" t="str">
        <f t="shared" si="11"/>
        <v>Policy196</v>
      </c>
      <c r="C197" s="7" t="s">
        <v>11</v>
      </c>
      <c r="D197" s="6">
        <v>2022</v>
      </c>
      <c r="E197" s="6">
        <v>2024</v>
      </c>
      <c r="F197" s="8">
        <v>26066</v>
      </c>
    </row>
    <row r="198" spans="1:6" x14ac:dyDescent="0.4">
      <c r="A198" s="6">
        <f t="shared" si="12"/>
        <v>197</v>
      </c>
      <c r="B198" s="6" t="str">
        <f t="shared" si="11"/>
        <v>Policy197</v>
      </c>
      <c r="C198" s="7" t="s">
        <v>12</v>
      </c>
      <c r="D198" s="6">
        <v>2022</v>
      </c>
      <c r="E198" s="6">
        <v>2023</v>
      </c>
      <c r="F198" s="8">
        <v>4506548</v>
      </c>
    </row>
    <row r="199" spans="1:6" x14ac:dyDescent="0.4">
      <c r="A199" s="6">
        <f t="shared" si="12"/>
        <v>198</v>
      </c>
      <c r="B199" s="6" t="str">
        <f t="shared" si="11"/>
        <v>Policy198</v>
      </c>
      <c r="C199" s="7" t="s">
        <v>11</v>
      </c>
      <c r="D199" s="6">
        <v>2023</v>
      </c>
      <c r="E199" s="6">
        <v>2025</v>
      </c>
      <c r="F199" s="8">
        <v>4733</v>
      </c>
    </row>
    <row r="200" spans="1:6" x14ac:dyDescent="0.4">
      <c r="A200" s="6">
        <f t="shared" si="12"/>
        <v>199</v>
      </c>
      <c r="B200" s="6" t="str">
        <f t="shared" si="11"/>
        <v>Policy199</v>
      </c>
      <c r="C200" s="7" t="s">
        <v>12</v>
      </c>
      <c r="D200" s="6">
        <v>2022</v>
      </c>
      <c r="E200" s="6">
        <v>2025</v>
      </c>
      <c r="F200" s="8">
        <v>2513684</v>
      </c>
    </row>
    <row r="201" spans="1:6" x14ac:dyDescent="0.4">
      <c r="A201" s="6">
        <f t="shared" si="12"/>
        <v>200</v>
      </c>
      <c r="B201" s="6" t="str">
        <f t="shared" si="11"/>
        <v>Policy200</v>
      </c>
      <c r="C201" s="7" t="s">
        <v>11</v>
      </c>
      <c r="D201" s="6">
        <v>2025</v>
      </c>
      <c r="E201" s="6">
        <v>2026</v>
      </c>
      <c r="F201" s="8">
        <v>9438</v>
      </c>
    </row>
    <row r="202" spans="1:6" x14ac:dyDescent="0.4">
      <c r="A202" s="6">
        <f t="shared" si="12"/>
        <v>201</v>
      </c>
      <c r="B202" s="6" t="str">
        <f t="shared" si="11"/>
        <v>Policy201</v>
      </c>
      <c r="C202" s="7" t="s">
        <v>11</v>
      </c>
      <c r="D202" s="6">
        <v>2024</v>
      </c>
      <c r="E202" s="6">
        <v>2025</v>
      </c>
      <c r="F202" s="8">
        <v>24977</v>
      </c>
    </row>
    <row r="203" spans="1:6" x14ac:dyDescent="0.4">
      <c r="A203" s="6">
        <f t="shared" si="12"/>
        <v>202</v>
      </c>
      <c r="B203" s="6" t="str">
        <f t="shared" si="11"/>
        <v>Policy202</v>
      </c>
      <c r="C203" s="7" t="s">
        <v>11</v>
      </c>
      <c r="D203" s="6">
        <v>2025</v>
      </c>
      <c r="E203" s="6">
        <v>2026</v>
      </c>
      <c r="F203" s="8">
        <v>14246</v>
      </c>
    </row>
    <row r="204" spans="1:6" x14ac:dyDescent="0.4">
      <c r="A204" s="6">
        <f t="shared" si="12"/>
        <v>203</v>
      </c>
      <c r="B204" s="6" t="str">
        <f t="shared" si="11"/>
        <v>Policy203</v>
      </c>
      <c r="C204" s="7" t="s">
        <v>12</v>
      </c>
      <c r="D204" s="6">
        <v>2023</v>
      </c>
      <c r="E204" s="6">
        <v>2026</v>
      </c>
      <c r="F204" s="8">
        <v>3405679</v>
      </c>
    </row>
    <row r="205" spans="1:6" x14ac:dyDescent="0.4">
      <c r="A205" s="6">
        <f t="shared" si="12"/>
        <v>204</v>
      </c>
      <c r="B205" s="6" t="str">
        <f t="shared" si="11"/>
        <v>Policy204</v>
      </c>
      <c r="C205" s="7" t="s">
        <v>11</v>
      </c>
      <c r="D205" s="6">
        <v>2024</v>
      </c>
      <c r="E205" s="6">
        <v>2025</v>
      </c>
      <c r="F205" s="8">
        <v>48984</v>
      </c>
    </row>
    <row r="206" spans="1:6" x14ac:dyDescent="0.4">
      <c r="A206" s="6">
        <f t="shared" si="12"/>
        <v>205</v>
      </c>
      <c r="B206" s="6" t="str">
        <f t="shared" si="11"/>
        <v>Policy205</v>
      </c>
      <c r="C206" s="7" t="s">
        <v>11</v>
      </c>
      <c r="D206" s="6">
        <v>2021</v>
      </c>
      <c r="E206" s="6">
        <v>2022</v>
      </c>
      <c r="F206" s="8">
        <v>14715</v>
      </c>
    </row>
    <row r="207" spans="1:6" x14ac:dyDescent="0.4">
      <c r="A207" s="6">
        <f t="shared" si="12"/>
        <v>206</v>
      </c>
      <c r="B207" s="6" t="str">
        <f t="shared" si="11"/>
        <v>Policy206</v>
      </c>
      <c r="C207" s="7" t="s">
        <v>12</v>
      </c>
      <c r="D207" s="6">
        <v>2021</v>
      </c>
      <c r="E207" s="6">
        <v>2025</v>
      </c>
      <c r="F207" s="8">
        <v>3546480</v>
      </c>
    </row>
    <row r="208" spans="1:6" x14ac:dyDescent="0.4">
      <c r="A208" s="6">
        <f t="shared" si="12"/>
        <v>207</v>
      </c>
      <c r="B208" s="6" t="str">
        <f t="shared" si="11"/>
        <v>Policy207</v>
      </c>
      <c r="C208" s="7" t="s">
        <v>12</v>
      </c>
      <c r="D208" s="6">
        <v>2022</v>
      </c>
      <c r="E208" s="6">
        <v>2024</v>
      </c>
      <c r="F208" s="8">
        <v>4511654</v>
      </c>
    </row>
    <row r="209" spans="1:6" x14ac:dyDescent="0.4">
      <c r="A209" s="6">
        <f t="shared" si="12"/>
        <v>208</v>
      </c>
      <c r="B209" s="6" t="str">
        <f t="shared" si="11"/>
        <v>Policy208</v>
      </c>
      <c r="C209" s="7" t="s">
        <v>11</v>
      </c>
      <c r="D209" s="6">
        <v>2025</v>
      </c>
      <c r="E209" s="6">
        <v>2026</v>
      </c>
      <c r="F209" s="8">
        <v>43719</v>
      </c>
    </row>
    <row r="210" spans="1:6" x14ac:dyDescent="0.4">
      <c r="A210" s="6">
        <f t="shared" si="12"/>
        <v>209</v>
      </c>
      <c r="B210" s="6" t="str">
        <f t="shared" si="11"/>
        <v>Policy209</v>
      </c>
      <c r="C210" s="7" t="s">
        <v>12</v>
      </c>
      <c r="D210" s="6">
        <v>2025</v>
      </c>
      <c r="E210" s="6">
        <v>2026</v>
      </c>
      <c r="F210" s="8">
        <v>3635461</v>
      </c>
    </row>
    <row r="211" spans="1:6" x14ac:dyDescent="0.4">
      <c r="A211" s="6">
        <f t="shared" si="12"/>
        <v>210</v>
      </c>
      <c r="B211" s="6" t="str">
        <f t="shared" si="11"/>
        <v>Policy210</v>
      </c>
      <c r="C211" s="7" t="s">
        <v>12</v>
      </c>
      <c r="D211" s="6">
        <v>2021</v>
      </c>
      <c r="E211" s="6">
        <v>2025</v>
      </c>
      <c r="F211" s="8">
        <v>4440192</v>
      </c>
    </row>
    <row r="212" spans="1:6" x14ac:dyDescent="0.4">
      <c r="A212" s="6">
        <f t="shared" si="12"/>
        <v>211</v>
      </c>
      <c r="B212" s="6" t="str">
        <f t="shared" si="11"/>
        <v>Policy211</v>
      </c>
      <c r="C212" s="7" t="s">
        <v>11</v>
      </c>
      <c r="D212" s="6">
        <v>2022</v>
      </c>
      <c r="E212" s="6">
        <v>2024</v>
      </c>
      <c r="F212" s="8">
        <v>13874</v>
      </c>
    </row>
    <row r="213" spans="1:6" x14ac:dyDescent="0.4">
      <c r="A213" s="6">
        <f t="shared" si="12"/>
        <v>212</v>
      </c>
      <c r="B213" s="6" t="str">
        <f t="shared" si="11"/>
        <v>Policy212</v>
      </c>
      <c r="C213" s="7" t="s">
        <v>11</v>
      </c>
      <c r="D213" s="6">
        <v>2025</v>
      </c>
      <c r="E213" s="6">
        <v>2026</v>
      </c>
      <c r="F213" s="8">
        <v>30908</v>
      </c>
    </row>
    <row r="214" spans="1:6" x14ac:dyDescent="0.4">
      <c r="A214" s="6">
        <f t="shared" si="12"/>
        <v>213</v>
      </c>
      <c r="B214" s="6" t="str">
        <f t="shared" si="11"/>
        <v>Policy213</v>
      </c>
      <c r="C214" s="7" t="s">
        <v>11</v>
      </c>
      <c r="D214" s="6">
        <v>2021</v>
      </c>
      <c r="E214" s="6">
        <v>2022</v>
      </c>
      <c r="F214" s="8">
        <v>21041</v>
      </c>
    </row>
    <row r="215" spans="1:6" x14ac:dyDescent="0.4">
      <c r="A215" s="6">
        <f t="shared" si="12"/>
        <v>214</v>
      </c>
      <c r="B215" s="6" t="str">
        <f t="shared" si="11"/>
        <v>Policy214</v>
      </c>
      <c r="C215" s="7" t="s">
        <v>12</v>
      </c>
      <c r="D215" s="6">
        <v>2023</v>
      </c>
      <c r="E215" s="6">
        <v>2026</v>
      </c>
      <c r="F215" s="8">
        <v>1141971</v>
      </c>
    </row>
    <row r="216" spans="1:6" x14ac:dyDescent="0.4">
      <c r="A216" s="6">
        <f t="shared" si="12"/>
        <v>215</v>
      </c>
      <c r="B216" s="6" t="str">
        <f t="shared" si="11"/>
        <v>Policy215</v>
      </c>
      <c r="C216" s="7" t="s">
        <v>12</v>
      </c>
      <c r="D216" s="6">
        <v>2023</v>
      </c>
      <c r="E216" s="6">
        <v>2026</v>
      </c>
      <c r="F216" s="8">
        <v>653080</v>
      </c>
    </row>
    <row r="217" spans="1:6" x14ac:dyDescent="0.4">
      <c r="A217" s="6">
        <f t="shared" si="12"/>
        <v>216</v>
      </c>
      <c r="B217" s="6" t="str">
        <f t="shared" si="11"/>
        <v>Policy216</v>
      </c>
      <c r="C217" s="7" t="s">
        <v>12</v>
      </c>
      <c r="D217" s="6">
        <v>2022</v>
      </c>
      <c r="E217" s="6">
        <v>2023</v>
      </c>
      <c r="F217" s="8">
        <v>886738</v>
      </c>
    </row>
    <row r="218" spans="1:6" x14ac:dyDescent="0.4">
      <c r="A218" s="6">
        <f t="shared" si="12"/>
        <v>217</v>
      </c>
      <c r="B218" s="6" t="str">
        <f t="shared" si="11"/>
        <v>Policy217</v>
      </c>
      <c r="C218" s="7" t="s">
        <v>11</v>
      </c>
      <c r="D218" s="6">
        <v>2021</v>
      </c>
      <c r="E218" s="6">
        <v>2025</v>
      </c>
      <c r="F218" s="8">
        <v>24413</v>
      </c>
    </row>
    <row r="219" spans="1:6" x14ac:dyDescent="0.4">
      <c r="A219" s="6">
        <f t="shared" si="12"/>
        <v>218</v>
      </c>
      <c r="B219" s="6" t="str">
        <f t="shared" si="11"/>
        <v>Policy218</v>
      </c>
      <c r="C219" s="7" t="s">
        <v>11</v>
      </c>
      <c r="D219" s="6">
        <v>2021</v>
      </c>
      <c r="E219" s="6">
        <v>2026</v>
      </c>
      <c r="F219" s="8">
        <v>29012</v>
      </c>
    </row>
    <row r="220" spans="1:6" x14ac:dyDescent="0.4">
      <c r="A220" s="6">
        <f t="shared" si="12"/>
        <v>219</v>
      </c>
      <c r="B220" s="6" t="str">
        <f t="shared" si="11"/>
        <v>Policy219</v>
      </c>
      <c r="C220" s="7" t="s">
        <v>11</v>
      </c>
      <c r="D220" s="6">
        <v>2021</v>
      </c>
      <c r="E220" s="6">
        <v>2022</v>
      </c>
      <c r="F220" s="8">
        <v>35167</v>
      </c>
    </row>
    <row r="221" spans="1:6" x14ac:dyDescent="0.4">
      <c r="A221" s="6">
        <f t="shared" si="12"/>
        <v>220</v>
      </c>
      <c r="B221" s="6" t="str">
        <f t="shared" si="11"/>
        <v>Policy220</v>
      </c>
      <c r="C221" s="7" t="s">
        <v>12</v>
      </c>
      <c r="D221" s="6">
        <v>2021</v>
      </c>
      <c r="E221" s="6">
        <v>2026</v>
      </c>
      <c r="F221" s="8">
        <v>1178373</v>
      </c>
    </row>
    <row r="222" spans="1:6" x14ac:dyDescent="0.4">
      <c r="A222" s="6">
        <f t="shared" si="12"/>
        <v>221</v>
      </c>
      <c r="B222" s="6" t="str">
        <f t="shared" si="11"/>
        <v>Policy221</v>
      </c>
      <c r="C222" s="7" t="s">
        <v>11</v>
      </c>
      <c r="D222" s="6">
        <v>2021</v>
      </c>
      <c r="E222" s="6">
        <v>2022</v>
      </c>
      <c r="F222" s="8">
        <v>28640</v>
      </c>
    </row>
    <row r="223" spans="1:6" x14ac:dyDescent="0.4">
      <c r="A223" s="6">
        <f t="shared" si="12"/>
        <v>222</v>
      </c>
      <c r="B223" s="6" t="str">
        <f t="shared" si="11"/>
        <v>Policy222</v>
      </c>
      <c r="C223" s="7" t="s">
        <v>11</v>
      </c>
      <c r="D223" s="6">
        <v>2022</v>
      </c>
      <c r="E223" s="6">
        <v>2025</v>
      </c>
      <c r="F223" s="8">
        <v>11607</v>
      </c>
    </row>
    <row r="224" spans="1:6" x14ac:dyDescent="0.4">
      <c r="A224" s="6">
        <f t="shared" si="12"/>
        <v>223</v>
      </c>
      <c r="B224" s="6" t="str">
        <f t="shared" si="11"/>
        <v>Policy223</v>
      </c>
      <c r="C224" s="7" t="s">
        <v>12</v>
      </c>
      <c r="D224" s="6">
        <v>2021</v>
      </c>
      <c r="E224" s="6">
        <v>2026</v>
      </c>
      <c r="F224" s="8">
        <v>1412213</v>
      </c>
    </row>
    <row r="225" spans="1:6" x14ac:dyDescent="0.4">
      <c r="A225" s="6">
        <f t="shared" si="12"/>
        <v>224</v>
      </c>
      <c r="B225" s="6" t="str">
        <f t="shared" si="11"/>
        <v>Policy224</v>
      </c>
      <c r="C225" s="7" t="s">
        <v>12</v>
      </c>
      <c r="D225" s="6">
        <v>2022</v>
      </c>
      <c r="E225" s="6">
        <v>2026</v>
      </c>
      <c r="F225" s="8">
        <v>385524</v>
      </c>
    </row>
    <row r="226" spans="1:6" x14ac:dyDescent="0.4">
      <c r="A226" s="6">
        <f t="shared" si="12"/>
        <v>225</v>
      </c>
      <c r="B226" s="6" t="str">
        <f t="shared" si="11"/>
        <v>Policy225</v>
      </c>
      <c r="C226" s="7" t="s">
        <v>11</v>
      </c>
      <c r="D226" s="6">
        <v>2021</v>
      </c>
      <c r="E226" s="6">
        <v>2023</v>
      </c>
      <c r="F226" s="8">
        <v>45275</v>
      </c>
    </row>
    <row r="227" spans="1:6" x14ac:dyDescent="0.4">
      <c r="A227" s="6">
        <f t="shared" si="12"/>
        <v>226</v>
      </c>
      <c r="B227" s="6" t="str">
        <f t="shared" si="11"/>
        <v>Policy226</v>
      </c>
      <c r="C227" s="7" t="s">
        <v>12</v>
      </c>
      <c r="D227" s="6">
        <v>2024</v>
      </c>
      <c r="E227" s="6">
        <v>2025</v>
      </c>
      <c r="F227" s="8">
        <v>4111875</v>
      </c>
    </row>
    <row r="228" spans="1:6" x14ac:dyDescent="0.4">
      <c r="A228" s="6">
        <f t="shared" si="12"/>
        <v>227</v>
      </c>
      <c r="B228" s="6" t="str">
        <f t="shared" si="11"/>
        <v>Policy227</v>
      </c>
      <c r="C228" s="7" t="s">
        <v>12</v>
      </c>
      <c r="D228" s="6">
        <v>2021</v>
      </c>
      <c r="E228" s="6">
        <v>2022</v>
      </c>
      <c r="F228" s="8">
        <v>2674973</v>
      </c>
    </row>
    <row r="229" spans="1:6" x14ac:dyDescent="0.4">
      <c r="A229" s="6">
        <f t="shared" si="12"/>
        <v>228</v>
      </c>
      <c r="B229" s="6" t="str">
        <f t="shared" si="11"/>
        <v>Policy228</v>
      </c>
      <c r="C229" s="7" t="s">
        <v>11</v>
      </c>
      <c r="D229" s="6">
        <v>2021</v>
      </c>
      <c r="E229" s="6">
        <v>2023</v>
      </c>
      <c r="F229" s="8">
        <v>27992</v>
      </c>
    </row>
    <row r="230" spans="1:6" x14ac:dyDescent="0.4">
      <c r="A230" s="6">
        <f t="shared" si="12"/>
        <v>229</v>
      </c>
      <c r="B230" s="6" t="str">
        <f t="shared" si="11"/>
        <v>Policy229</v>
      </c>
      <c r="C230" s="7" t="s">
        <v>11</v>
      </c>
      <c r="D230" s="6">
        <v>2025</v>
      </c>
      <c r="E230" s="6">
        <v>2026</v>
      </c>
      <c r="F230" s="8">
        <v>29480</v>
      </c>
    </row>
    <row r="231" spans="1:6" x14ac:dyDescent="0.4">
      <c r="A231" s="6">
        <f t="shared" si="12"/>
        <v>230</v>
      </c>
      <c r="B231" s="6" t="str">
        <f t="shared" si="11"/>
        <v>Policy230</v>
      </c>
      <c r="C231" s="7" t="s">
        <v>12</v>
      </c>
      <c r="D231" s="6">
        <v>2022</v>
      </c>
      <c r="E231" s="6">
        <v>2023</v>
      </c>
      <c r="F231" s="8">
        <v>3832481</v>
      </c>
    </row>
    <row r="232" spans="1:6" x14ac:dyDescent="0.4">
      <c r="A232" s="6">
        <f t="shared" si="12"/>
        <v>231</v>
      </c>
      <c r="B232" s="6" t="str">
        <f t="shared" si="11"/>
        <v>Policy231</v>
      </c>
      <c r="C232" s="7" t="s">
        <v>12</v>
      </c>
      <c r="D232" s="6">
        <v>2025</v>
      </c>
      <c r="E232" s="6">
        <v>2026</v>
      </c>
      <c r="F232" s="8">
        <v>1828538</v>
      </c>
    </row>
    <row r="233" spans="1:6" x14ac:dyDescent="0.4">
      <c r="A233" s="6">
        <f t="shared" si="12"/>
        <v>232</v>
      </c>
      <c r="B233" s="6" t="str">
        <f t="shared" si="11"/>
        <v>Policy232</v>
      </c>
      <c r="C233" s="7" t="s">
        <v>12</v>
      </c>
      <c r="D233" s="6">
        <v>2021</v>
      </c>
      <c r="E233" s="6">
        <v>2026</v>
      </c>
      <c r="F233" s="8">
        <v>61374</v>
      </c>
    </row>
    <row r="234" spans="1:6" x14ac:dyDescent="0.4">
      <c r="A234" s="6">
        <f t="shared" si="12"/>
        <v>233</v>
      </c>
      <c r="B234" s="6" t="str">
        <f t="shared" si="11"/>
        <v>Policy233</v>
      </c>
      <c r="C234" s="7" t="s">
        <v>11</v>
      </c>
      <c r="D234" s="6">
        <v>2021</v>
      </c>
      <c r="E234" s="6">
        <v>2025</v>
      </c>
      <c r="F234" s="8">
        <v>2759</v>
      </c>
    </row>
    <row r="235" spans="1:6" x14ac:dyDescent="0.4">
      <c r="A235" s="6">
        <f t="shared" si="12"/>
        <v>234</v>
      </c>
      <c r="B235" s="6" t="str">
        <f t="shared" si="11"/>
        <v>Policy234</v>
      </c>
      <c r="C235" s="7" t="s">
        <v>12</v>
      </c>
      <c r="D235" s="6">
        <v>2024</v>
      </c>
      <c r="E235" s="6">
        <v>2025</v>
      </c>
      <c r="F235" s="8">
        <v>4307660</v>
      </c>
    </row>
    <row r="236" spans="1:6" x14ac:dyDescent="0.4">
      <c r="A236" s="6">
        <f t="shared" si="12"/>
        <v>235</v>
      </c>
      <c r="B236" s="6" t="str">
        <f t="shared" si="11"/>
        <v>Policy235</v>
      </c>
      <c r="C236" s="7" t="s">
        <v>11</v>
      </c>
      <c r="D236" s="6">
        <v>2023</v>
      </c>
      <c r="E236" s="6">
        <v>2025</v>
      </c>
      <c r="F236" s="8">
        <v>29151</v>
      </c>
    </row>
    <row r="237" spans="1:6" x14ac:dyDescent="0.4">
      <c r="A237" s="6">
        <f t="shared" si="12"/>
        <v>236</v>
      </c>
      <c r="B237" s="6" t="str">
        <f t="shared" si="11"/>
        <v>Policy236</v>
      </c>
      <c r="C237" s="7" t="s">
        <v>11</v>
      </c>
      <c r="D237" s="6">
        <v>2025</v>
      </c>
      <c r="E237" s="6">
        <v>2026</v>
      </c>
      <c r="F237" s="8">
        <v>1070</v>
      </c>
    </row>
    <row r="238" spans="1:6" x14ac:dyDescent="0.4">
      <c r="A238" s="6">
        <f t="shared" si="12"/>
        <v>237</v>
      </c>
      <c r="B238" s="6" t="str">
        <f t="shared" si="11"/>
        <v>Policy237</v>
      </c>
      <c r="C238" s="7" t="s">
        <v>11</v>
      </c>
      <c r="D238" s="6">
        <v>2024</v>
      </c>
      <c r="E238" s="6">
        <v>2026</v>
      </c>
      <c r="F238" s="8">
        <v>47601</v>
      </c>
    </row>
    <row r="239" spans="1:6" x14ac:dyDescent="0.4">
      <c r="A239" s="6">
        <f t="shared" si="12"/>
        <v>238</v>
      </c>
      <c r="B239" s="6" t="str">
        <f t="shared" si="11"/>
        <v>Policy238</v>
      </c>
      <c r="C239" s="7" t="s">
        <v>11</v>
      </c>
      <c r="D239" s="6">
        <v>2025</v>
      </c>
      <c r="E239" s="6">
        <v>2026</v>
      </c>
      <c r="F239" s="8">
        <v>29056</v>
      </c>
    </row>
    <row r="240" spans="1:6" x14ac:dyDescent="0.4">
      <c r="A240" s="6">
        <f t="shared" si="12"/>
        <v>239</v>
      </c>
      <c r="B240" s="6" t="str">
        <f t="shared" si="11"/>
        <v>Policy239</v>
      </c>
      <c r="C240" s="7" t="s">
        <v>11</v>
      </c>
      <c r="D240" s="6">
        <v>2025</v>
      </c>
      <c r="E240" s="6">
        <v>2026</v>
      </c>
      <c r="F240" s="8">
        <v>33310</v>
      </c>
    </row>
    <row r="241" spans="1:6" x14ac:dyDescent="0.4">
      <c r="A241" s="6">
        <f t="shared" si="12"/>
        <v>240</v>
      </c>
      <c r="B241" s="6" t="str">
        <f t="shared" si="11"/>
        <v>Policy240</v>
      </c>
      <c r="C241" s="7" t="s">
        <v>12</v>
      </c>
      <c r="D241" s="6">
        <v>2023</v>
      </c>
      <c r="E241" s="6">
        <v>2026</v>
      </c>
      <c r="F241" s="8">
        <v>2100522</v>
      </c>
    </row>
    <row r="242" spans="1:6" x14ac:dyDescent="0.4">
      <c r="A242" s="6">
        <f t="shared" si="12"/>
        <v>241</v>
      </c>
      <c r="B242" s="6" t="str">
        <f t="shared" si="11"/>
        <v>Policy241</v>
      </c>
      <c r="C242" s="7" t="s">
        <v>12</v>
      </c>
      <c r="D242" s="6">
        <v>2024</v>
      </c>
      <c r="E242" s="6">
        <v>2025</v>
      </c>
      <c r="F242" s="8">
        <v>4596874</v>
      </c>
    </row>
    <row r="243" spans="1:6" x14ac:dyDescent="0.4">
      <c r="A243" s="6">
        <f t="shared" si="12"/>
        <v>242</v>
      </c>
      <c r="B243" s="6" t="str">
        <f t="shared" si="11"/>
        <v>Policy242</v>
      </c>
      <c r="C243" s="7" t="s">
        <v>11</v>
      </c>
      <c r="D243" s="6">
        <v>2023</v>
      </c>
      <c r="E243" s="6">
        <v>2024</v>
      </c>
      <c r="F243" s="8">
        <v>41316</v>
      </c>
    </row>
    <row r="244" spans="1:6" x14ac:dyDescent="0.4">
      <c r="A244" s="6">
        <f t="shared" si="12"/>
        <v>243</v>
      </c>
      <c r="B244" s="6" t="str">
        <f t="shared" si="11"/>
        <v>Policy243</v>
      </c>
      <c r="C244" s="7" t="s">
        <v>12</v>
      </c>
      <c r="D244" s="6">
        <v>2023</v>
      </c>
      <c r="E244" s="6">
        <v>2024</v>
      </c>
      <c r="F244" s="8">
        <v>660043</v>
      </c>
    </row>
    <row r="245" spans="1:6" x14ac:dyDescent="0.4">
      <c r="A245" s="6">
        <f t="shared" si="12"/>
        <v>244</v>
      </c>
      <c r="B245" s="6" t="str">
        <f t="shared" si="11"/>
        <v>Policy244</v>
      </c>
      <c r="C245" s="7" t="s">
        <v>12</v>
      </c>
      <c r="D245" s="6">
        <v>2021</v>
      </c>
      <c r="E245" s="6">
        <v>2026</v>
      </c>
      <c r="F245" s="8">
        <v>2003043</v>
      </c>
    </row>
    <row r="246" spans="1:6" x14ac:dyDescent="0.4">
      <c r="A246" s="6">
        <f t="shared" si="12"/>
        <v>245</v>
      </c>
      <c r="B246" s="6" t="str">
        <f t="shared" si="11"/>
        <v>Policy245</v>
      </c>
      <c r="C246" s="7" t="s">
        <v>12</v>
      </c>
      <c r="D246" s="6">
        <v>2025</v>
      </c>
      <c r="E246" s="6">
        <v>2026</v>
      </c>
      <c r="F246" s="8">
        <v>3891640</v>
      </c>
    </row>
    <row r="247" spans="1:6" x14ac:dyDescent="0.4">
      <c r="A247" s="6">
        <f t="shared" si="12"/>
        <v>246</v>
      </c>
      <c r="B247" s="6" t="str">
        <f t="shared" si="11"/>
        <v>Policy246</v>
      </c>
      <c r="C247" s="7" t="s">
        <v>12</v>
      </c>
      <c r="D247" s="6">
        <v>2021</v>
      </c>
      <c r="E247" s="6">
        <v>2025</v>
      </c>
      <c r="F247" s="8">
        <v>1851677</v>
      </c>
    </row>
    <row r="248" spans="1:6" x14ac:dyDescent="0.4">
      <c r="A248" s="6">
        <f t="shared" si="12"/>
        <v>247</v>
      </c>
      <c r="B248" s="6" t="str">
        <f t="shared" si="11"/>
        <v>Policy247</v>
      </c>
      <c r="C248" s="7" t="s">
        <v>11</v>
      </c>
      <c r="D248" s="6">
        <v>2021</v>
      </c>
      <c r="E248" s="6">
        <v>2024</v>
      </c>
      <c r="F248" s="8">
        <v>6606</v>
      </c>
    </row>
    <row r="249" spans="1:6" x14ac:dyDescent="0.4">
      <c r="A249" s="6">
        <f t="shared" si="12"/>
        <v>248</v>
      </c>
      <c r="B249" s="6" t="str">
        <f t="shared" si="11"/>
        <v>Policy248</v>
      </c>
      <c r="C249" s="7" t="s">
        <v>11</v>
      </c>
      <c r="D249" s="6">
        <v>2023</v>
      </c>
      <c r="E249" s="6">
        <v>2025</v>
      </c>
      <c r="F249" s="8">
        <v>39011</v>
      </c>
    </row>
    <row r="250" spans="1:6" x14ac:dyDescent="0.4">
      <c r="A250" s="6">
        <f t="shared" si="12"/>
        <v>249</v>
      </c>
      <c r="B250" s="6" t="str">
        <f t="shared" si="11"/>
        <v>Policy249</v>
      </c>
      <c r="C250" s="7" t="s">
        <v>12</v>
      </c>
      <c r="D250" s="6">
        <v>2023</v>
      </c>
      <c r="E250" s="6">
        <v>2026</v>
      </c>
      <c r="F250" s="8">
        <v>3029968</v>
      </c>
    </row>
    <row r="251" spans="1:6" x14ac:dyDescent="0.4">
      <c r="A251" s="6">
        <f t="shared" si="12"/>
        <v>250</v>
      </c>
      <c r="B251" s="6" t="str">
        <f t="shared" si="11"/>
        <v>Policy250</v>
      </c>
      <c r="C251" s="7" t="s">
        <v>12</v>
      </c>
      <c r="D251" s="6">
        <v>2021</v>
      </c>
      <c r="E251" s="6">
        <v>2026</v>
      </c>
      <c r="F251" s="8">
        <v>1561990</v>
      </c>
    </row>
    <row r="252" spans="1:6" x14ac:dyDescent="0.4">
      <c r="A252" s="6">
        <f t="shared" si="12"/>
        <v>251</v>
      </c>
      <c r="B252" s="6" t="str">
        <f t="shared" si="11"/>
        <v>Policy251</v>
      </c>
      <c r="C252" s="7" t="s">
        <v>12</v>
      </c>
      <c r="D252" s="6">
        <v>2023</v>
      </c>
      <c r="E252" s="6">
        <v>2026</v>
      </c>
      <c r="F252" s="8">
        <v>1560866</v>
      </c>
    </row>
    <row r="253" spans="1:6" x14ac:dyDescent="0.4">
      <c r="A253" s="6">
        <f t="shared" si="12"/>
        <v>252</v>
      </c>
      <c r="B253" s="6" t="str">
        <f t="shared" si="11"/>
        <v>Policy252</v>
      </c>
      <c r="C253" s="7" t="s">
        <v>12</v>
      </c>
      <c r="D253" s="6">
        <v>2025</v>
      </c>
      <c r="E253" s="6">
        <v>2026</v>
      </c>
      <c r="F253" s="8">
        <v>2116977</v>
      </c>
    </row>
    <row r="254" spans="1:6" x14ac:dyDescent="0.4">
      <c r="A254" s="6">
        <f t="shared" si="12"/>
        <v>253</v>
      </c>
      <c r="B254" s="6" t="str">
        <f t="shared" si="11"/>
        <v>Policy253</v>
      </c>
      <c r="C254" s="7" t="s">
        <v>11</v>
      </c>
      <c r="D254" s="6">
        <v>2022</v>
      </c>
      <c r="E254" s="6">
        <v>2024</v>
      </c>
      <c r="F254" s="8">
        <v>30337</v>
      </c>
    </row>
    <row r="255" spans="1:6" x14ac:dyDescent="0.4">
      <c r="A255" s="6">
        <f t="shared" si="12"/>
        <v>254</v>
      </c>
      <c r="B255" s="6" t="str">
        <f t="shared" si="11"/>
        <v>Policy254</v>
      </c>
      <c r="C255" s="7" t="s">
        <v>11</v>
      </c>
      <c r="D255" s="6">
        <v>2023</v>
      </c>
      <c r="E255" s="6">
        <v>2025</v>
      </c>
      <c r="F255" s="8">
        <v>26366</v>
      </c>
    </row>
    <row r="256" spans="1:6" x14ac:dyDescent="0.4">
      <c r="A256" s="6">
        <f t="shared" si="12"/>
        <v>255</v>
      </c>
      <c r="B256" s="6" t="str">
        <f t="shared" si="11"/>
        <v>Policy255</v>
      </c>
      <c r="C256" s="7" t="s">
        <v>12</v>
      </c>
      <c r="D256" s="6">
        <v>2023</v>
      </c>
      <c r="E256" s="6">
        <v>2024</v>
      </c>
      <c r="F256" s="8">
        <v>3910571</v>
      </c>
    </row>
    <row r="257" spans="1:6" x14ac:dyDescent="0.4">
      <c r="A257" s="6">
        <f t="shared" si="12"/>
        <v>256</v>
      </c>
      <c r="B257" s="6" t="str">
        <f t="shared" si="11"/>
        <v>Policy256</v>
      </c>
      <c r="C257" s="7" t="s">
        <v>12</v>
      </c>
      <c r="D257" s="6">
        <v>2024</v>
      </c>
      <c r="E257" s="6">
        <v>2026</v>
      </c>
      <c r="F257" s="8">
        <v>2633171</v>
      </c>
    </row>
    <row r="258" spans="1:6" x14ac:dyDescent="0.4">
      <c r="A258" s="6">
        <f t="shared" si="12"/>
        <v>257</v>
      </c>
      <c r="B258" s="6" t="str">
        <f t="shared" si="11"/>
        <v>Policy257</v>
      </c>
      <c r="C258" s="7" t="s">
        <v>12</v>
      </c>
      <c r="D258" s="6">
        <v>2022</v>
      </c>
      <c r="E258" s="6">
        <v>2026</v>
      </c>
      <c r="F258" s="8">
        <v>4126258</v>
      </c>
    </row>
    <row r="259" spans="1:6" x14ac:dyDescent="0.4">
      <c r="A259" s="6">
        <f t="shared" si="12"/>
        <v>258</v>
      </c>
      <c r="B259" s="6" t="str">
        <f t="shared" ref="B259:B322" si="13">"Policy"&amp;A259</f>
        <v>Policy258</v>
      </c>
      <c r="C259" s="7" t="s">
        <v>11</v>
      </c>
      <c r="D259" s="6">
        <v>2024</v>
      </c>
      <c r="E259" s="6">
        <v>2026</v>
      </c>
      <c r="F259" s="8">
        <v>1247</v>
      </c>
    </row>
    <row r="260" spans="1:6" x14ac:dyDescent="0.4">
      <c r="A260" s="6">
        <f t="shared" ref="A260:A323" si="14">A259+1</f>
        <v>259</v>
      </c>
      <c r="B260" s="6" t="str">
        <f t="shared" si="13"/>
        <v>Policy259</v>
      </c>
      <c r="C260" s="7" t="s">
        <v>11</v>
      </c>
      <c r="D260" s="6">
        <v>2023</v>
      </c>
      <c r="E260" s="6">
        <v>2024</v>
      </c>
      <c r="F260" s="8">
        <v>5714</v>
      </c>
    </row>
    <row r="261" spans="1:6" x14ac:dyDescent="0.4">
      <c r="A261" s="6">
        <f t="shared" si="14"/>
        <v>260</v>
      </c>
      <c r="B261" s="6" t="str">
        <f t="shared" si="13"/>
        <v>Policy260</v>
      </c>
      <c r="C261" s="7" t="s">
        <v>12</v>
      </c>
      <c r="D261" s="6">
        <v>2024</v>
      </c>
      <c r="E261" s="6">
        <v>2026</v>
      </c>
      <c r="F261" s="8">
        <v>2708999</v>
      </c>
    </row>
    <row r="262" spans="1:6" x14ac:dyDescent="0.4">
      <c r="A262" s="6">
        <f t="shared" si="14"/>
        <v>261</v>
      </c>
      <c r="B262" s="6" t="str">
        <f t="shared" si="13"/>
        <v>Policy261</v>
      </c>
      <c r="C262" s="7" t="s">
        <v>11</v>
      </c>
      <c r="D262" s="6">
        <v>2022</v>
      </c>
      <c r="E262" s="6">
        <v>2025</v>
      </c>
      <c r="F262" s="8">
        <v>26686</v>
      </c>
    </row>
    <row r="263" spans="1:6" x14ac:dyDescent="0.4">
      <c r="A263" s="6">
        <f t="shared" si="14"/>
        <v>262</v>
      </c>
      <c r="B263" s="6" t="str">
        <f t="shared" si="13"/>
        <v>Policy262</v>
      </c>
      <c r="C263" s="7" t="s">
        <v>12</v>
      </c>
      <c r="D263" s="6">
        <v>2024</v>
      </c>
      <c r="E263" s="6">
        <v>2026</v>
      </c>
      <c r="F263" s="8">
        <v>1473942</v>
      </c>
    </row>
    <row r="264" spans="1:6" x14ac:dyDescent="0.4">
      <c r="A264" s="6">
        <f t="shared" si="14"/>
        <v>263</v>
      </c>
      <c r="B264" s="6" t="str">
        <f t="shared" si="13"/>
        <v>Policy263</v>
      </c>
      <c r="C264" s="7" t="s">
        <v>12</v>
      </c>
      <c r="D264" s="6">
        <v>2021</v>
      </c>
      <c r="E264" s="6">
        <v>2024</v>
      </c>
      <c r="F264" s="8">
        <v>3784203</v>
      </c>
    </row>
    <row r="265" spans="1:6" x14ac:dyDescent="0.4">
      <c r="A265" s="6">
        <f t="shared" si="14"/>
        <v>264</v>
      </c>
      <c r="B265" s="6" t="str">
        <f t="shared" si="13"/>
        <v>Policy264</v>
      </c>
      <c r="C265" s="7" t="s">
        <v>12</v>
      </c>
      <c r="D265" s="6">
        <v>2024</v>
      </c>
      <c r="E265" s="6">
        <v>2025</v>
      </c>
      <c r="F265" s="8">
        <v>3184443</v>
      </c>
    </row>
    <row r="266" spans="1:6" x14ac:dyDescent="0.4">
      <c r="A266" s="6">
        <f t="shared" si="14"/>
        <v>265</v>
      </c>
      <c r="B266" s="6" t="str">
        <f t="shared" si="13"/>
        <v>Policy265</v>
      </c>
      <c r="C266" s="7" t="s">
        <v>11</v>
      </c>
      <c r="D266" s="6">
        <v>2025</v>
      </c>
      <c r="E266" s="6">
        <v>2026</v>
      </c>
      <c r="F266" s="8">
        <v>46576</v>
      </c>
    </row>
    <row r="267" spans="1:6" x14ac:dyDescent="0.4">
      <c r="A267" s="6">
        <f t="shared" si="14"/>
        <v>266</v>
      </c>
      <c r="B267" s="6" t="str">
        <f t="shared" si="13"/>
        <v>Policy266</v>
      </c>
      <c r="C267" s="7" t="s">
        <v>12</v>
      </c>
      <c r="D267" s="6">
        <v>2024</v>
      </c>
      <c r="E267" s="6">
        <v>2025</v>
      </c>
      <c r="F267" s="8">
        <v>361288</v>
      </c>
    </row>
    <row r="268" spans="1:6" x14ac:dyDescent="0.4">
      <c r="A268" s="6">
        <f t="shared" si="14"/>
        <v>267</v>
      </c>
      <c r="B268" s="6" t="str">
        <f t="shared" si="13"/>
        <v>Policy267</v>
      </c>
      <c r="C268" s="7" t="s">
        <v>12</v>
      </c>
      <c r="D268" s="6">
        <v>2024</v>
      </c>
      <c r="E268" s="6">
        <v>2025</v>
      </c>
      <c r="F268" s="8">
        <v>3246041</v>
      </c>
    </row>
    <row r="269" spans="1:6" x14ac:dyDescent="0.4">
      <c r="A269" s="6">
        <f t="shared" si="14"/>
        <v>268</v>
      </c>
      <c r="B269" s="6" t="str">
        <f t="shared" si="13"/>
        <v>Policy268</v>
      </c>
      <c r="C269" s="7" t="s">
        <v>12</v>
      </c>
      <c r="D269" s="6">
        <v>2024</v>
      </c>
      <c r="E269" s="6">
        <v>2026</v>
      </c>
      <c r="F269" s="8">
        <v>1300551</v>
      </c>
    </row>
    <row r="270" spans="1:6" x14ac:dyDescent="0.4">
      <c r="A270" s="6">
        <f t="shared" si="14"/>
        <v>269</v>
      </c>
      <c r="B270" s="6" t="str">
        <f t="shared" si="13"/>
        <v>Policy269</v>
      </c>
      <c r="C270" s="7" t="s">
        <v>11</v>
      </c>
      <c r="D270" s="6">
        <v>2025</v>
      </c>
      <c r="E270" s="6">
        <v>2026</v>
      </c>
      <c r="F270" s="8">
        <v>23576</v>
      </c>
    </row>
    <row r="271" spans="1:6" x14ac:dyDescent="0.4">
      <c r="A271" s="6">
        <f t="shared" si="14"/>
        <v>270</v>
      </c>
      <c r="B271" s="6" t="str">
        <f t="shared" si="13"/>
        <v>Policy270</v>
      </c>
      <c r="C271" s="7" t="s">
        <v>12</v>
      </c>
      <c r="D271" s="6">
        <v>2022</v>
      </c>
      <c r="E271" s="6">
        <v>2024</v>
      </c>
      <c r="F271" s="8">
        <v>509072</v>
      </c>
    </row>
    <row r="272" spans="1:6" x14ac:dyDescent="0.4">
      <c r="A272" s="6">
        <f t="shared" si="14"/>
        <v>271</v>
      </c>
      <c r="B272" s="6" t="str">
        <f t="shared" si="13"/>
        <v>Policy271</v>
      </c>
      <c r="C272" s="7" t="s">
        <v>12</v>
      </c>
      <c r="D272" s="6">
        <v>2023</v>
      </c>
      <c r="E272" s="6">
        <v>2024</v>
      </c>
      <c r="F272" s="8">
        <v>4549365</v>
      </c>
    </row>
    <row r="273" spans="1:6" x14ac:dyDescent="0.4">
      <c r="A273" s="6">
        <f t="shared" si="14"/>
        <v>272</v>
      </c>
      <c r="B273" s="6" t="str">
        <f t="shared" si="13"/>
        <v>Policy272</v>
      </c>
      <c r="C273" s="7" t="s">
        <v>11</v>
      </c>
      <c r="D273" s="6">
        <v>2025</v>
      </c>
      <c r="E273" s="6">
        <v>2026</v>
      </c>
      <c r="F273" s="8">
        <v>8813</v>
      </c>
    </row>
    <row r="274" spans="1:6" x14ac:dyDescent="0.4">
      <c r="A274" s="6">
        <f t="shared" si="14"/>
        <v>273</v>
      </c>
      <c r="B274" s="6" t="str">
        <f t="shared" si="13"/>
        <v>Policy273</v>
      </c>
      <c r="C274" s="7" t="s">
        <v>12</v>
      </c>
      <c r="D274" s="6">
        <v>2021</v>
      </c>
      <c r="E274" s="6">
        <v>2024</v>
      </c>
      <c r="F274" s="8">
        <v>138893</v>
      </c>
    </row>
    <row r="275" spans="1:6" x14ac:dyDescent="0.4">
      <c r="A275" s="6">
        <f t="shared" si="14"/>
        <v>274</v>
      </c>
      <c r="B275" s="6" t="str">
        <f t="shared" si="13"/>
        <v>Policy274</v>
      </c>
      <c r="C275" s="7" t="s">
        <v>11</v>
      </c>
      <c r="D275" s="6">
        <v>2023</v>
      </c>
      <c r="E275" s="6">
        <v>2026</v>
      </c>
      <c r="F275" s="8">
        <v>44478</v>
      </c>
    </row>
    <row r="276" spans="1:6" x14ac:dyDescent="0.4">
      <c r="A276" s="6">
        <f t="shared" si="14"/>
        <v>275</v>
      </c>
      <c r="B276" s="6" t="str">
        <f t="shared" si="13"/>
        <v>Policy275</v>
      </c>
      <c r="C276" s="7" t="s">
        <v>12</v>
      </c>
      <c r="D276" s="6">
        <v>2021</v>
      </c>
      <c r="E276" s="6">
        <v>2026</v>
      </c>
      <c r="F276" s="8">
        <v>4338925</v>
      </c>
    </row>
    <row r="277" spans="1:6" x14ac:dyDescent="0.4">
      <c r="A277" s="6">
        <f t="shared" si="14"/>
        <v>276</v>
      </c>
      <c r="B277" s="6" t="str">
        <f t="shared" si="13"/>
        <v>Policy276</v>
      </c>
      <c r="C277" s="7" t="s">
        <v>11</v>
      </c>
      <c r="D277" s="6">
        <v>2022</v>
      </c>
      <c r="E277" s="6">
        <v>2026</v>
      </c>
      <c r="F277" s="8">
        <v>36308</v>
      </c>
    </row>
    <row r="278" spans="1:6" x14ac:dyDescent="0.4">
      <c r="A278" s="6">
        <f t="shared" si="14"/>
        <v>277</v>
      </c>
      <c r="B278" s="6" t="str">
        <f t="shared" si="13"/>
        <v>Policy277</v>
      </c>
      <c r="C278" s="7" t="s">
        <v>11</v>
      </c>
      <c r="D278" s="6">
        <v>2021</v>
      </c>
      <c r="E278" s="6">
        <v>2023</v>
      </c>
      <c r="F278" s="8">
        <v>5162</v>
      </c>
    </row>
    <row r="279" spans="1:6" x14ac:dyDescent="0.4">
      <c r="A279" s="6">
        <f t="shared" si="14"/>
        <v>278</v>
      </c>
      <c r="B279" s="6" t="str">
        <f t="shared" si="13"/>
        <v>Policy278</v>
      </c>
      <c r="C279" s="7" t="s">
        <v>11</v>
      </c>
      <c r="D279" s="6">
        <v>2021</v>
      </c>
      <c r="E279" s="6">
        <v>2024</v>
      </c>
      <c r="F279" s="8">
        <v>25326</v>
      </c>
    </row>
    <row r="280" spans="1:6" x14ac:dyDescent="0.4">
      <c r="A280" s="6">
        <f t="shared" si="14"/>
        <v>279</v>
      </c>
      <c r="B280" s="6" t="str">
        <f t="shared" si="13"/>
        <v>Policy279</v>
      </c>
      <c r="C280" s="7" t="s">
        <v>12</v>
      </c>
      <c r="D280" s="6">
        <v>2023</v>
      </c>
      <c r="E280" s="6">
        <v>2025</v>
      </c>
      <c r="F280" s="8">
        <v>636188</v>
      </c>
    </row>
    <row r="281" spans="1:6" x14ac:dyDescent="0.4">
      <c r="A281" s="6">
        <f t="shared" si="14"/>
        <v>280</v>
      </c>
      <c r="B281" s="6" t="str">
        <f t="shared" si="13"/>
        <v>Policy280</v>
      </c>
      <c r="C281" s="7" t="s">
        <v>11</v>
      </c>
      <c r="D281" s="6">
        <v>2025</v>
      </c>
      <c r="E281" s="6">
        <v>2026</v>
      </c>
      <c r="F281" s="8">
        <v>10060</v>
      </c>
    </row>
    <row r="282" spans="1:6" x14ac:dyDescent="0.4">
      <c r="A282" s="6">
        <f t="shared" si="14"/>
        <v>281</v>
      </c>
      <c r="B282" s="6" t="str">
        <f t="shared" si="13"/>
        <v>Policy281</v>
      </c>
      <c r="C282" s="7" t="s">
        <v>11</v>
      </c>
      <c r="D282" s="6">
        <v>2021</v>
      </c>
      <c r="E282" s="6">
        <v>2024</v>
      </c>
      <c r="F282" s="8">
        <v>9065</v>
      </c>
    </row>
    <row r="283" spans="1:6" x14ac:dyDescent="0.4">
      <c r="A283" s="6">
        <f t="shared" si="14"/>
        <v>282</v>
      </c>
      <c r="B283" s="6" t="str">
        <f t="shared" si="13"/>
        <v>Policy282</v>
      </c>
      <c r="C283" s="7" t="s">
        <v>11</v>
      </c>
      <c r="D283" s="6">
        <v>2021</v>
      </c>
      <c r="E283" s="6">
        <v>2024</v>
      </c>
      <c r="F283" s="8">
        <v>20244</v>
      </c>
    </row>
    <row r="284" spans="1:6" x14ac:dyDescent="0.4">
      <c r="A284" s="6">
        <f t="shared" si="14"/>
        <v>283</v>
      </c>
      <c r="B284" s="6" t="str">
        <f t="shared" si="13"/>
        <v>Policy283</v>
      </c>
      <c r="C284" s="7" t="s">
        <v>11</v>
      </c>
      <c r="D284" s="6">
        <v>2022</v>
      </c>
      <c r="E284" s="6">
        <v>2024</v>
      </c>
      <c r="F284" s="8">
        <v>45759</v>
      </c>
    </row>
    <row r="285" spans="1:6" x14ac:dyDescent="0.4">
      <c r="A285" s="6">
        <f t="shared" si="14"/>
        <v>284</v>
      </c>
      <c r="B285" s="6" t="str">
        <f t="shared" si="13"/>
        <v>Policy284</v>
      </c>
      <c r="C285" s="7" t="s">
        <v>11</v>
      </c>
      <c r="D285" s="6">
        <v>2025</v>
      </c>
      <c r="E285" s="6">
        <v>2026</v>
      </c>
      <c r="F285" s="8">
        <v>39117</v>
      </c>
    </row>
    <row r="286" spans="1:6" x14ac:dyDescent="0.4">
      <c r="A286" s="6">
        <f t="shared" si="14"/>
        <v>285</v>
      </c>
      <c r="B286" s="6" t="str">
        <f t="shared" si="13"/>
        <v>Policy285</v>
      </c>
      <c r="C286" s="7" t="s">
        <v>12</v>
      </c>
      <c r="D286" s="6">
        <v>2021</v>
      </c>
      <c r="E286" s="6">
        <v>2022</v>
      </c>
      <c r="F286" s="8">
        <v>695069</v>
      </c>
    </row>
    <row r="287" spans="1:6" x14ac:dyDescent="0.4">
      <c r="A287" s="6">
        <f t="shared" si="14"/>
        <v>286</v>
      </c>
      <c r="B287" s="6" t="str">
        <f t="shared" si="13"/>
        <v>Policy286</v>
      </c>
      <c r="C287" s="7" t="s">
        <v>11</v>
      </c>
      <c r="D287" s="6">
        <v>2025</v>
      </c>
      <c r="E287" s="6">
        <v>2026</v>
      </c>
      <c r="F287" s="8">
        <v>38677</v>
      </c>
    </row>
    <row r="288" spans="1:6" x14ac:dyDescent="0.4">
      <c r="A288" s="6">
        <f t="shared" si="14"/>
        <v>287</v>
      </c>
      <c r="B288" s="6" t="str">
        <f t="shared" si="13"/>
        <v>Policy287</v>
      </c>
      <c r="C288" s="7" t="s">
        <v>11</v>
      </c>
      <c r="D288" s="6">
        <v>2025</v>
      </c>
      <c r="E288" s="6">
        <v>2026</v>
      </c>
      <c r="F288" s="8">
        <v>39451</v>
      </c>
    </row>
    <row r="289" spans="1:6" x14ac:dyDescent="0.4">
      <c r="A289" s="6">
        <f t="shared" si="14"/>
        <v>288</v>
      </c>
      <c r="B289" s="6" t="str">
        <f t="shared" si="13"/>
        <v>Policy288</v>
      </c>
      <c r="C289" s="7" t="s">
        <v>11</v>
      </c>
      <c r="D289" s="6">
        <v>2023</v>
      </c>
      <c r="E289" s="6">
        <v>2025</v>
      </c>
      <c r="F289" s="8">
        <v>25280</v>
      </c>
    </row>
    <row r="290" spans="1:6" x14ac:dyDescent="0.4">
      <c r="A290" s="6">
        <f t="shared" si="14"/>
        <v>289</v>
      </c>
      <c r="B290" s="6" t="str">
        <f t="shared" si="13"/>
        <v>Policy289</v>
      </c>
      <c r="C290" s="7" t="s">
        <v>11</v>
      </c>
      <c r="D290" s="6">
        <v>2025</v>
      </c>
      <c r="E290" s="6">
        <v>2026</v>
      </c>
      <c r="F290" s="8">
        <v>4299</v>
      </c>
    </row>
    <row r="291" spans="1:6" x14ac:dyDescent="0.4">
      <c r="A291" s="6">
        <f t="shared" si="14"/>
        <v>290</v>
      </c>
      <c r="B291" s="6" t="str">
        <f t="shared" si="13"/>
        <v>Policy290</v>
      </c>
      <c r="C291" s="7" t="s">
        <v>11</v>
      </c>
      <c r="D291" s="6">
        <v>2022</v>
      </c>
      <c r="E291" s="6">
        <v>2025</v>
      </c>
      <c r="F291" s="8">
        <v>44311</v>
      </c>
    </row>
    <row r="292" spans="1:6" x14ac:dyDescent="0.4">
      <c r="A292" s="6">
        <f t="shared" si="14"/>
        <v>291</v>
      </c>
      <c r="B292" s="6" t="str">
        <f t="shared" si="13"/>
        <v>Policy291</v>
      </c>
      <c r="C292" s="7" t="s">
        <v>12</v>
      </c>
      <c r="D292" s="6">
        <v>2023</v>
      </c>
      <c r="E292" s="6">
        <v>2026</v>
      </c>
      <c r="F292" s="8">
        <v>3381302</v>
      </c>
    </row>
    <row r="293" spans="1:6" x14ac:dyDescent="0.4">
      <c r="A293" s="6">
        <f t="shared" si="14"/>
        <v>292</v>
      </c>
      <c r="B293" s="6" t="str">
        <f t="shared" si="13"/>
        <v>Policy292</v>
      </c>
      <c r="C293" s="7" t="s">
        <v>11</v>
      </c>
      <c r="D293" s="6">
        <v>2021</v>
      </c>
      <c r="E293" s="6">
        <v>2025</v>
      </c>
      <c r="F293" s="8">
        <v>35976</v>
      </c>
    </row>
    <row r="294" spans="1:6" x14ac:dyDescent="0.4">
      <c r="A294" s="6">
        <f t="shared" si="14"/>
        <v>293</v>
      </c>
      <c r="B294" s="6" t="str">
        <f t="shared" si="13"/>
        <v>Policy293</v>
      </c>
      <c r="C294" s="7" t="s">
        <v>11</v>
      </c>
      <c r="D294" s="6">
        <v>2025</v>
      </c>
      <c r="E294" s="6">
        <v>2026</v>
      </c>
      <c r="F294" s="8">
        <v>22578</v>
      </c>
    </row>
    <row r="295" spans="1:6" x14ac:dyDescent="0.4">
      <c r="A295" s="6">
        <f t="shared" si="14"/>
        <v>294</v>
      </c>
      <c r="B295" s="6" t="str">
        <f t="shared" si="13"/>
        <v>Policy294</v>
      </c>
      <c r="C295" s="7" t="s">
        <v>11</v>
      </c>
      <c r="D295" s="6">
        <v>2022</v>
      </c>
      <c r="E295" s="6">
        <v>2023</v>
      </c>
      <c r="F295" s="8">
        <v>7824</v>
      </c>
    </row>
    <row r="296" spans="1:6" x14ac:dyDescent="0.4">
      <c r="A296" s="6">
        <f t="shared" si="14"/>
        <v>295</v>
      </c>
      <c r="B296" s="6" t="str">
        <f t="shared" si="13"/>
        <v>Policy295</v>
      </c>
      <c r="C296" s="7" t="s">
        <v>12</v>
      </c>
      <c r="D296" s="6">
        <v>2024</v>
      </c>
      <c r="E296" s="6">
        <v>2025</v>
      </c>
      <c r="F296" s="8">
        <v>2018253</v>
      </c>
    </row>
    <row r="297" spans="1:6" x14ac:dyDescent="0.4">
      <c r="A297" s="6">
        <f t="shared" si="14"/>
        <v>296</v>
      </c>
      <c r="B297" s="6" t="str">
        <f t="shared" si="13"/>
        <v>Policy296</v>
      </c>
      <c r="C297" s="7" t="s">
        <v>11</v>
      </c>
      <c r="D297" s="6">
        <v>2025</v>
      </c>
      <c r="E297" s="6">
        <v>2026</v>
      </c>
      <c r="F297" s="8">
        <v>32622</v>
      </c>
    </row>
    <row r="298" spans="1:6" x14ac:dyDescent="0.4">
      <c r="A298" s="6">
        <f t="shared" si="14"/>
        <v>297</v>
      </c>
      <c r="B298" s="6" t="str">
        <f t="shared" si="13"/>
        <v>Policy297</v>
      </c>
      <c r="C298" s="7" t="s">
        <v>11</v>
      </c>
      <c r="D298" s="6">
        <v>2022</v>
      </c>
      <c r="E298" s="6">
        <v>2024</v>
      </c>
      <c r="F298" s="8">
        <v>44241</v>
      </c>
    </row>
    <row r="299" spans="1:6" x14ac:dyDescent="0.4">
      <c r="A299" s="6">
        <f t="shared" si="14"/>
        <v>298</v>
      </c>
      <c r="B299" s="6" t="str">
        <f t="shared" si="13"/>
        <v>Policy298</v>
      </c>
      <c r="C299" s="7" t="s">
        <v>12</v>
      </c>
      <c r="D299" s="6">
        <v>2025</v>
      </c>
      <c r="E299" s="6">
        <v>2026</v>
      </c>
      <c r="F299" s="8">
        <v>1473252</v>
      </c>
    </row>
    <row r="300" spans="1:6" x14ac:dyDescent="0.4">
      <c r="A300" s="6">
        <f t="shared" si="14"/>
        <v>299</v>
      </c>
      <c r="B300" s="6" t="str">
        <f t="shared" si="13"/>
        <v>Policy299</v>
      </c>
      <c r="C300" s="7" t="s">
        <v>11</v>
      </c>
      <c r="D300" s="6">
        <v>2021</v>
      </c>
      <c r="E300" s="6">
        <v>2024</v>
      </c>
      <c r="F300" s="8">
        <v>46261</v>
      </c>
    </row>
    <row r="301" spans="1:6" x14ac:dyDescent="0.4">
      <c r="A301" s="6">
        <f t="shared" si="14"/>
        <v>300</v>
      </c>
      <c r="B301" s="6" t="str">
        <f t="shared" si="13"/>
        <v>Policy300</v>
      </c>
      <c r="C301" s="7" t="s">
        <v>11</v>
      </c>
      <c r="D301" s="6">
        <v>2025</v>
      </c>
      <c r="E301" s="6">
        <v>2026</v>
      </c>
      <c r="F301" s="8">
        <v>11617</v>
      </c>
    </row>
    <row r="302" spans="1:6" x14ac:dyDescent="0.4">
      <c r="A302" s="6">
        <f t="shared" si="14"/>
        <v>301</v>
      </c>
      <c r="B302" s="6" t="str">
        <f t="shared" si="13"/>
        <v>Policy301</v>
      </c>
      <c r="C302" s="7" t="s">
        <v>11</v>
      </c>
      <c r="D302" s="6">
        <v>2021</v>
      </c>
      <c r="E302" s="6">
        <v>2024</v>
      </c>
      <c r="F302" s="8">
        <v>29640</v>
      </c>
    </row>
    <row r="303" spans="1:6" x14ac:dyDescent="0.4">
      <c r="A303" s="6">
        <f t="shared" si="14"/>
        <v>302</v>
      </c>
      <c r="B303" s="6" t="str">
        <f t="shared" si="13"/>
        <v>Policy302</v>
      </c>
      <c r="C303" s="7" t="s">
        <v>12</v>
      </c>
      <c r="D303" s="6">
        <v>2025</v>
      </c>
      <c r="E303" s="6">
        <v>2026</v>
      </c>
      <c r="F303" s="8">
        <v>4413181</v>
      </c>
    </row>
    <row r="304" spans="1:6" x14ac:dyDescent="0.4">
      <c r="A304" s="6">
        <f t="shared" si="14"/>
        <v>303</v>
      </c>
      <c r="B304" s="6" t="str">
        <f t="shared" si="13"/>
        <v>Policy303</v>
      </c>
      <c r="C304" s="7" t="s">
        <v>12</v>
      </c>
      <c r="D304" s="6">
        <v>2024</v>
      </c>
      <c r="E304" s="6">
        <v>2026</v>
      </c>
      <c r="F304" s="8">
        <v>4152479</v>
      </c>
    </row>
    <row r="305" spans="1:6" x14ac:dyDescent="0.4">
      <c r="A305" s="6">
        <f t="shared" si="14"/>
        <v>304</v>
      </c>
      <c r="B305" s="6" t="str">
        <f t="shared" si="13"/>
        <v>Policy304</v>
      </c>
      <c r="C305" s="7" t="s">
        <v>12</v>
      </c>
      <c r="D305" s="6">
        <v>2025</v>
      </c>
      <c r="E305" s="6">
        <v>2026</v>
      </c>
      <c r="F305" s="8">
        <v>4549574</v>
      </c>
    </row>
    <row r="306" spans="1:6" x14ac:dyDescent="0.4">
      <c r="A306" s="6">
        <f t="shared" si="14"/>
        <v>305</v>
      </c>
      <c r="B306" s="6" t="str">
        <f t="shared" si="13"/>
        <v>Policy305</v>
      </c>
      <c r="C306" s="7" t="s">
        <v>12</v>
      </c>
      <c r="D306" s="6">
        <v>2021</v>
      </c>
      <c r="E306" s="6">
        <v>2025</v>
      </c>
      <c r="F306" s="8">
        <v>1400892</v>
      </c>
    </row>
    <row r="307" spans="1:6" x14ac:dyDescent="0.4">
      <c r="A307" s="6">
        <f t="shared" si="14"/>
        <v>306</v>
      </c>
      <c r="B307" s="6" t="str">
        <f t="shared" si="13"/>
        <v>Policy306</v>
      </c>
      <c r="C307" s="7" t="s">
        <v>11</v>
      </c>
      <c r="D307" s="6">
        <v>2023</v>
      </c>
      <c r="E307" s="6">
        <v>2024</v>
      </c>
      <c r="F307" s="8">
        <v>37040</v>
      </c>
    </row>
    <row r="308" spans="1:6" x14ac:dyDescent="0.4">
      <c r="A308" s="6">
        <f t="shared" si="14"/>
        <v>307</v>
      </c>
      <c r="B308" s="6" t="str">
        <f t="shared" si="13"/>
        <v>Policy307</v>
      </c>
      <c r="C308" s="7" t="s">
        <v>12</v>
      </c>
      <c r="D308" s="6">
        <v>2022</v>
      </c>
      <c r="E308" s="6">
        <v>2026</v>
      </c>
      <c r="F308" s="8">
        <v>762578</v>
      </c>
    </row>
    <row r="309" spans="1:6" x14ac:dyDescent="0.4">
      <c r="A309" s="6">
        <f t="shared" si="14"/>
        <v>308</v>
      </c>
      <c r="B309" s="6" t="str">
        <f t="shared" si="13"/>
        <v>Policy308</v>
      </c>
      <c r="C309" s="7" t="s">
        <v>11</v>
      </c>
      <c r="D309" s="6">
        <v>2023</v>
      </c>
      <c r="E309" s="6">
        <v>2026</v>
      </c>
      <c r="F309" s="8">
        <v>1021</v>
      </c>
    </row>
    <row r="310" spans="1:6" x14ac:dyDescent="0.4">
      <c r="A310" s="6">
        <f t="shared" si="14"/>
        <v>309</v>
      </c>
      <c r="B310" s="6" t="str">
        <f t="shared" si="13"/>
        <v>Policy309</v>
      </c>
      <c r="C310" s="7" t="s">
        <v>12</v>
      </c>
      <c r="D310" s="6">
        <v>2024</v>
      </c>
      <c r="E310" s="6">
        <v>2026</v>
      </c>
      <c r="F310" s="8">
        <v>3227477</v>
      </c>
    </row>
    <row r="311" spans="1:6" x14ac:dyDescent="0.4">
      <c r="A311" s="6">
        <f t="shared" si="14"/>
        <v>310</v>
      </c>
      <c r="B311" s="6" t="str">
        <f t="shared" si="13"/>
        <v>Policy310</v>
      </c>
      <c r="C311" s="7" t="s">
        <v>12</v>
      </c>
      <c r="D311" s="6">
        <v>2023</v>
      </c>
      <c r="E311" s="6">
        <v>2025</v>
      </c>
      <c r="F311" s="8">
        <v>1650091</v>
      </c>
    </row>
    <row r="312" spans="1:6" x14ac:dyDescent="0.4">
      <c r="A312" s="6">
        <f t="shared" si="14"/>
        <v>311</v>
      </c>
      <c r="B312" s="6" t="str">
        <f t="shared" si="13"/>
        <v>Policy311</v>
      </c>
      <c r="C312" s="7" t="s">
        <v>12</v>
      </c>
      <c r="D312" s="6">
        <v>2024</v>
      </c>
      <c r="E312" s="6">
        <v>2025</v>
      </c>
      <c r="F312" s="8">
        <v>629611</v>
      </c>
    </row>
    <row r="313" spans="1:6" x14ac:dyDescent="0.4">
      <c r="A313" s="6">
        <f t="shared" si="14"/>
        <v>312</v>
      </c>
      <c r="B313" s="6" t="str">
        <f t="shared" si="13"/>
        <v>Policy312</v>
      </c>
      <c r="C313" s="7" t="s">
        <v>12</v>
      </c>
      <c r="D313" s="6">
        <v>2023</v>
      </c>
      <c r="E313" s="6">
        <v>2025</v>
      </c>
      <c r="F313" s="8">
        <v>4896641</v>
      </c>
    </row>
    <row r="314" spans="1:6" x14ac:dyDescent="0.4">
      <c r="A314" s="6">
        <f t="shared" si="14"/>
        <v>313</v>
      </c>
      <c r="B314" s="6" t="str">
        <f t="shared" si="13"/>
        <v>Policy313</v>
      </c>
      <c r="C314" s="7" t="s">
        <v>12</v>
      </c>
      <c r="D314" s="6">
        <v>2021</v>
      </c>
      <c r="E314" s="6">
        <v>2024</v>
      </c>
      <c r="F314" s="8">
        <v>671813</v>
      </c>
    </row>
    <row r="315" spans="1:6" x14ac:dyDescent="0.4">
      <c r="A315" s="6">
        <f t="shared" si="14"/>
        <v>314</v>
      </c>
      <c r="B315" s="6" t="str">
        <f t="shared" si="13"/>
        <v>Policy314</v>
      </c>
      <c r="C315" s="7" t="s">
        <v>11</v>
      </c>
      <c r="D315" s="6">
        <v>2023</v>
      </c>
      <c r="E315" s="6">
        <v>2025</v>
      </c>
      <c r="F315" s="8">
        <v>26075</v>
      </c>
    </row>
    <row r="316" spans="1:6" x14ac:dyDescent="0.4">
      <c r="A316" s="6">
        <f t="shared" si="14"/>
        <v>315</v>
      </c>
      <c r="B316" s="6" t="str">
        <f t="shared" si="13"/>
        <v>Policy315</v>
      </c>
      <c r="C316" s="7" t="s">
        <v>11</v>
      </c>
      <c r="D316" s="6">
        <v>2025</v>
      </c>
      <c r="E316" s="6">
        <v>2026</v>
      </c>
      <c r="F316" s="8">
        <v>6018</v>
      </c>
    </row>
    <row r="317" spans="1:6" x14ac:dyDescent="0.4">
      <c r="A317" s="6">
        <f t="shared" si="14"/>
        <v>316</v>
      </c>
      <c r="B317" s="6" t="str">
        <f t="shared" si="13"/>
        <v>Policy316</v>
      </c>
      <c r="C317" s="7" t="s">
        <v>12</v>
      </c>
      <c r="D317" s="6">
        <v>2021</v>
      </c>
      <c r="E317" s="6">
        <v>2022</v>
      </c>
      <c r="F317" s="8">
        <v>1231394</v>
      </c>
    </row>
    <row r="318" spans="1:6" x14ac:dyDescent="0.4">
      <c r="A318" s="6">
        <f t="shared" si="14"/>
        <v>317</v>
      </c>
      <c r="B318" s="6" t="str">
        <f t="shared" si="13"/>
        <v>Policy317</v>
      </c>
      <c r="C318" s="7" t="s">
        <v>11</v>
      </c>
      <c r="D318" s="6">
        <v>2022</v>
      </c>
      <c r="E318" s="6">
        <v>2024</v>
      </c>
      <c r="F318" s="8">
        <v>45779</v>
      </c>
    </row>
    <row r="319" spans="1:6" x14ac:dyDescent="0.4">
      <c r="A319" s="6">
        <f t="shared" si="14"/>
        <v>318</v>
      </c>
      <c r="B319" s="6" t="str">
        <f t="shared" si="13"/>
        <v>Policy318</v>
      </c>
      <c r="C319" s="7" t="s">
        <v>11</v>
      </c>
      <c r="D319" s="6">
        <v>2024</v>
      </c>
      <c r="E319" s="6">
        <v>2026</v>
      </c>
      <c r="F319" s="8">
        <v>26577</v>
      </c>
    </row>
    <row r="320" spans="1:6" x14ac:dyDescent="0.4">
      <c r="A320" s="6">
        <f t="shared" si="14"/>
        <v>319</v>
      </c>
      <c r="B320" s="6" t="str">
        <f t="shared" si="13"/>
        <v>Policy319</v>
      </c>
      <c r="C320" s="7" t="s">
        <v>12</v>
      </c>
      <c r="D320" s="6">
        <v>2025</v>
      </c>
      <c r="E320" s="6">
        <v>2026</v>
      </c>
      <c r="F320" s="8">
        <v>1418101</v>
      </c>
    </row>
    <row r="321" spans="1:6" x14ac:dyDescent="0.4">
      <c r="A321" s="6">
        <f t="shared" si="14"/>
        <v>320</v>
      </c>
      <c r="B321" s="6" t="str">
        <f t="shared" si="13"/>
        <v>Policy320</v>
      </c>
      <c r="C321" s="7" t="s">
        <v>12</v>
      </c>
      <c r="D321" s="6">
        <v>2023</v>
      </c>
      <c r="E321" s="6">
        <v>2024</v>
      </c>
      <c r="F321" s="8">
        <v>3214662</v>
      </c>
    </row>
    <row r="322" spans="1:6" x14ac:dyDescent="0.4">
      <c r="A322" s="6">
        <f t="shared" si="14"/>
        <v>321</v>
      </c>
      <c r="B322" s="6" t="str">
        <f t="shared" si="13"/>
        <v>Policy321</v>
      </c>
      <c r="C322" s="7" t="s">
        <v>11</v>
      </c>
      <c r="D322" s="6">
        <v>2024</v>
      </c>
      <c r="E322" s="6">
        <v>2026</v>
      </c>
      <c r="F322" s="8">
        <v>40055</v>
      </c>
    </row>
    <row r="323" spans="1:6" x14ac:dyDescent="0.4">
      <c r="A323" s="6">
        <f t="shared" si="14"/>
        <v>322</v>
      </c>
      <c r="B323" s="6" t="str">
        <f t="shared" ref="B323:B386" si="15">"Policy"&amp;A323</f>
        <v>Policy322</v>
      </c>
      <c r="C323" s="7" t="s">
        <v>11</v>
      </c>
      <c r="D323" s="6">
        <v>2021</v>
      </c>
      <c r="E323" s="6">
        <v>2022</v>
      </c>
      <c r="F323" s="8">
        <v>14235</v>
      </c>
    </row>
    <row r="324" spans="1:6" x14ac:dyDescent="0.4">
      <c r="A324" s="6">
        <f t="shared" ref="A324:A387" si="16">A323+1</f>
        <v>323</v>
      </c>
      <c r="B324" s="6" t="str">
        <f t="shared" si="15"/>
        <v>Policy323</v>
      </c>
      <c r="C324" s="7" t="s">
        <v>12</v>
      </c>
      <c r="D324" s="6">
        <v>2024</v>
      </c>
      <c r="E324" s="6">
        <v>2026</v>
      </c>
      <c r="F324" s="8">
        <v>2098672</v>
      </c>
    </row>
    <row r="325" spans="1:6" x14ac:dyDescent="0.4">
      <c r="A325" s="6">
        <f t="shared" si="16"/>
        <v>324</v>
      </c>
      <c r="B325" s="6" t="str">
        <f t="shared" si="15"/>
        <v>Policy324</v>
      </c>
      <c r="C325" s="7" t="s">
        <v>11</v>
      </c>
      <c r="D325" s="6">
        <v>2025</v>
      </c>
      <c r="E325" s="6">
        <v>2026</v>
      </c>
      <c r="F325" s="8">
        <v>34202</v>
      </c>
    </row>
    <row r="326" spans="1:6" x14ac:dyDescent="0.4">
      <c r="A326" s="6">
        <f t="shared" si="16"/>
        <v>325</v>
      </c>
      <c r="B326" s="6" t="str">
        <f t="shared" si="15"/>
        <v>Policy325</v>
      </c>
      <c r="C326" s="7" t="s">
        <v>11</v>
      </c>
      <c r="D326" s="6">
        <v>2022</v>
      </c>
      <c r="E326" s="6">
        <v>2024</v>
      </c>
      <c r="F326" s="8">
        <v>4500</v>
      </c>
    </row>
    <row r="327" spans="1:6" x14ac:dyDescent="0.4">
      <c r="A327" s="6">
        <f t="shared" si="16"/>
        <v>326</v>
      </c>
      <c r="B327" s="6" t="str">
        <f t="shared" si="15"/>
        <v>Policy326</v>
      </c>
      <c r="C327" s="7" t="s">
        <v>12</v>
      </c>
      <c r="D327" s="6">
        <v>2024</v>
      </c>
      <c r="E327" s="6">
        <v>2025</v>
      </c>
      <c r="F327" s="8">
        <v>1841376</v>
      </c>
    </row>
    <row r="328" spans="1:6" x14ac:dyDescent="0.4">
      <c r="A328" s="6">
        <f t="shared" si="16"/>
        <v>327</v>
      </c>
      <c r="B328" s="6" t="str">
        <f t="shared" si="15"/>
        <v>Policy327</v>
      </c>
      <c r="C328" s="7" t="s">
        <v>12</v>
      </c>
      <c r="D328" s="6">
        <v>2021</v>
      </c>
      <c r="E328" s="6">
        <v>2025</v>
      </c>
      <c r="F328" s="8">
        <v>1851398</v>
      </c>
    </row>
    <row r="329" spans="1:6" x14ac:dyDescent="0.4">
      <c r="A329" s="6">
        <f t="shared" si="16"/>
        <v>328</v>
      </c>
      <c r="B329" s="6" t="str">
        <f t="shared" si="15"/>
        <v>Policy328</v>
      </c>
      <c r="C329" s="7" t="s">
        <v>11</v>
      </c>
      <c r="D329" s="6">
        <v>2024</v>
      </c>
      <c r="E329" s="6">
        <v>2025</v>
      </c>
      <c r="F329" s="8">
        <v>3067</v>
      </c>
    </row>
    <row r="330" spans="1:6" x14ac:dyDescent="0.4">
      <c r="A330" s="6">
        <f t="shared" si="16"/>
        <v>329</v>
      </c>
      <c r="B330" s="6" t="str">
        <f t="shared" si="15"/>
        <v>Policy329</v>
      </c>
      <c r="C330" s="7" t="s">
        <v>12</v>
      </c>
      <c r="D330" s="6">
        <v>2022</v>
      </c>
      <c r="E330" s="6">
        <v>2023</v>
      </c>
      <c r="F330" s="8">
        <v>2589829</v>
      </c>
    </row>
    <row r="331" spans="1:6" x14ac:dyDescent="0.4">
      <c r="A331" s="6">
        <f t="shared" si="16"/>
        <v>330</v>
      </c>
      <c r="B331" s="6" t="str">
        <f t="shared" si="15"/>
        <v>Policy330</v>
      </c>
      <c r="C331" s="7" t="s">
        <v>11</v>
      </c>
      <c r="D331" s="6">
        <v>2023</v>
      </c>
      <c r="E331" s="6">
        <v>2024</v>
      </c>
      <c r="F331" s="8">
        <v>10663</v>
      </c>
    </row>
    <row r="332" spans="1:6" x14ac:dyDescent="0.4">
      <c r="A332" s="6">
        <f t="shared" si="16"/>
        <v>331</v>
      </c>
      <c r="B332" s="6" t="str">
        <f t="shared" si="15"/>
        <v>Policy331</v>
      </c>
      <c r="C332" s="7" t="s">
        <v>11</v>
      </c>
      <c r="D332" s="6">
        <v>2021</v>
      </c>
      <c r="E332" s="6">
        <v>2022</v>
      </c>
      <c r="F332" s="8">
        <v>21146</v>
      </c>
    </row>
    <row r="333" spans="1:6" x14ac:dyDescent="0.4">
      <c r="A333" s="6">
        <f t="shared" si="16"/>
        <v>332</v>
      </c>
      <c r="B333" s="6" t="str">
        <f t="shared" si="15"/>
        <v>Policy332</v>
      </c>
      <c r="C333" s="7" t="s">
        <v>12</v>
      </c>
      <c r="D333" s="6">
        <v>2022</v>
      </c>
      <c r="E333" s="6">
        <v>2023</v>
      </c>
      <c r="F333" s="8">
        <v>2720028</v>
      </c>
    </row>
    <row r="334" spans="1:6" x14ac:dyDescent="0.4">
      <c r="A334" s="6">
        <f t="shared" si="16"/>
        <v>333</v>
      </c>
      <c r="B334" s="6" t="str">
        <f t="shared" si="15"/>
        <v>Policy333</v>
      </c>
      <c r="C334" s="7" t="s">
        <v>12</v>
      </c>
      <c r="D334" s="6">
        <v>2023</v>
      </c>
      <c r="E334" s="6">
        <v>2024</v>
      </c>
      <c r="F334" s="8">
        <v>4799093</v>
      </c>
    </row>
    <row r="335" spans="1:6" x14ac:dyDescent="0.4">
      <c r="A335" s="6">
        <f t="shared" si="16"/>
        <v>334</v>
      </c>
      <c r="B335" s="6" t="str">
        <f t="shared" si="15"/>
        <v>Policy334</v>
      </c>
      <c r="C335" s="7" t="s">
        <v>11</v>
      </c>
      <c r="D335" s="6">
        <v>2024</v>
      </c>
      <c r="E335" s="6">
        <v>2026</v>
      </c>
      <c r="F335" s="8">
        <v>45701</v>
      </c>
    </row>
    <row r="336" spans="1:6" x14ac:dyDescent="0.4">
      <c r="A336" s="6">
        <f t="shared" si="16"/>
        <v>335</v>
      </c>
      <c r="B336" s="6" t="str">
        <f t="shared" si="15"/>
        <v>Policy335</v>
      </c>
      <c r="C336" s="7" t="s">
        <v>12</v>
      </c>
      <c r="D336" s="6">
        <v>2025</v>
      </c>
      <c r="E336" s="6">
        <v>2026</v>
      </c>
      <c r="F336" s="8">
        <v>640875</v>
      </c>
    </row>
    <row r="337" spans="1:6" x14ac:dyDescent="0.4">
      <c r="A337" s="6">
        <f t="shared" si="16"/>
        <v>336</v>
      </c>
      <c r="B337" s="6" t="str">
        <f t="shared" si="15"/>
        <v>Policy336</v>
      </c>
      <c r="C337" s="7" t="s">
        <v>11</v>
      </c>
      <c r="D337" s="6">
        <v>2023</v>
      </c>
      <c r="E337" s="6">
        <v>2025</v>
      </c>
      <c r="F337" s="8">
        <v>40157</v>
      </c>
    </row>
    <row r="338" spans="1:6" x14ac:dyDescent="0.4">
      <c r="A338" s="6">
        <f t="shared" si="16"/>
        <v>337</v>
      </c>
      <c r="B338" s="6" t="str">
        <f t="shared" si="15"/>
        <v>Policy337</v>
      </c>
      <c r="C338" s="7" t="s">
        <v>11</v>
      </c>
      <c r="D338" s="6">
        <v>2021</v>
      </c>
      <c r="E338" s="6">
        <v>2024</v>
      </c>
      <c r="F338" s="8">
        <v>40342</v>
      </c>
    </row>
    <row r="339" spans="1:6" x14ac:dyDescent="0.4">
      <c r="A339" s="6">
        <f t="shared" si="16"/>
        <v>338</v>
      </c>
      <c r="B339" s="6" t="str">
        <f t="shared" si="15"/>
        <v>Policy338</v>
      </c>
      <c r="C339" s="7" t="s">
        <v>12</v>
      </c>
      <c r="D339" s="6">
        <v>2023</v>
      </c>
      <c r="E339" s="6">
        <v>2026</v>
      </c>
      <c r="F339" s="8">
        <v>1396265</v>
      </c>
    </row>
    <row r="340" spans="1:6" x14ac:dyDescent="0.4">
      <c r="A340" s="6">
        <f t="shared" si="16"/>
        <v>339</v>
      </c>
      <c r="B340" s="6" t="str">
        <f t="shared" si="15"/>
        <v>Policy339</v>
      </c>
      <c r="C340" s="7" t="s">
        <v>12</v>
      </c>
      <c r="D340" s="6">
        <v>2022</v>
      </c>
      <c r="E340" s="6">
        <v>2025</v>
      </c>
      <c r="F340" s="8">
        <v>500046</v>
      </c>
    </row>
    <row r="341" spans="1:6" x14ac:dyDescent="0.4">
      <c r="A341" s="6">
        <f t="shared" si="16"/>
        <v>340</v>
      </c>
      <c r="B341" s="6" t="str">
        <f t="shared" si="15"/>
        <v>Policy340</v>
      </c>
      <c r="C341" s="7" t="s">
        <v>12</v>
      </c>
      <c r="D341" s="6">
        <v>2022</v>
      </c>
      <c r="E341" s="6">
        <v>2023</v>
      </c>
      <c r="F341" s="8">
        <v>12613</v>
      </c>
    </row>
    <row r="342" spans="1:6" x14ac:dyDescent="0.4">
      <c r="A342" s="6">
        <f t="shared" si="16"/>
        <v>341</v>
      </c>
      <c r="B342" s="6" t="str">
        <f t="shared" si="15"/>
        <v>Policy341</v>
      </c>
      <c r="C342" s="7" t="s">
        <v>12</v>
      </c>
      <c r="D342" s="6">
        <v>2022</v>
      </c>
      <c r="E342" s="6">
        <v>2026</v>
      </c>
      <c r="F342" s="8">
        <v>4959093</v>
      </c>
    </row>
    <row r="343" spans="1:6" x14ac:dyDescent="0.4">
      <c r="A343" s="6">
        <f t="shared" si="16"/>
        <v>342</v>
      </c>
      <c r="B343" s="6" t="str">
        <f t="shared" si="15"/>
        <v>Policy342</v>
      </c>
      <c r="C343" s="7" t="s">
        <v>12</v>
      </c>
      <c r="D343" s="6">
        <v>2024</v>
      </c>
      <c r="E343" s="6">
        <v>2026</v>
      </c>
      <c r="F343" s="8">
        <v>3585656</v>
      </c>
    </row>
    <row r="344" spans="1:6" x14ac:dyDescent="0.4">
      <c r="A344" s="6">
        <f t="shared" si="16"/>
        <v>343</v>
      </c>
      <c r="B344" s="6" t="str">
        <f t="shared" si="15"/>
        <v>Policy343</v>
      </c>
      <c r="C344" s="7" t="s">
        <v>11</v>
      </c>
      <c r="D344" s="6">
        <v>2022</v>
      </c>
      <c r="E344" s="6">
        <v>2023</v>
      </c>
      <c r="F344" s="8">
        <v>13531</v>
      </c>
    </row>
    <row r="345" spans="1:6" x14ac:dyDescent="0.4">
      <c r="A345" s="6">
        <f t="shared" si="16"/>
        <v>344</v>
      </c>
      <c r="B345" s="6" t="str">
        <f t="shared" si="15"/>
        <v>Policy344</v>
      </c>
      <c r="C345" s="7" t="s">
        <v>11</v>
      </c>
      <c r="D345" s="6">
        <v>2025</v>
      </c>
      <c r="E345" s="6">
        <v>2026</v>
      </c>
      <c r="F345" s="8">
        <v>26634</v>
      </c>
    </row>
    <row r="346" spans="1:6" x14ac:dyDescent="0.4">
      <c r="A346" s="6">
        <f t="shared" si="16"/>
        <v>345</v>
      </c>
      <c r="B346" s="6" t="str">
        <f t="shared" si="15"/>
        <v>Policy345</v>
      </c>
      <c r="C346" s="7" t="s">
        <v>12</v>
      </c>
      <c r="D346" s="6">
        <v>2023</v>
      </c>
      <c r="E346" s="6">
        <v>2026</v>
      </c>
      <c r="F346" s="8">
        <v>672345</v>
      </c>
    </row>
    <row r="347" spans="1:6" x14ac:dyDescent="0.4">
      <c r="A347" s="6">
        <f t="shared" si="16"/>
        <v>346</v>
      </c>
      <c r="B347" s="6" t="str">
        <f t="shared" si="15"/>
        <v>Policy346</v>
      </c>
      <c r="C347" s="7" t="s">
        <v>11</v>
      </c>
      <c r="D347" s="6">
        <v>2023</v>
      </c>
      <c r="E347" s="6">
        <v>2026</v>
      </c>
      <c r="F347" s="8">
        <v>47109</v>
      </c>
    </row>
    <row r="348" spans="1:6" x14ac:dyDescent="0.4">
      <c r="A348" s="6">
        <f t="shared" si="16"/>
        <v>347</v>
      </c>
      <c r="B348" s="6" t="str">
        <f t="shared" si="15"/>
        <v>Policy347</v>
      </c>
      <c r="C348" s="7" t="s">
        <v>11</v>
      </c>
      <c r="D348" s="6">
        <v>2024</v>
      </c>
      <c r="E348" s="6">
        <v>2025</v>
      </c>
      <c r="F348" s="8">
        <v>10904</v>
      </c>
    </row>
    <row r="349" spans="1:6" x14ac:dyDescent="0.4">
      <c r="A349" s="6">
        <f t="shared" si="16"/>
        <v>348</v>
      </c>
      <c r="B349" s="6" t="str">
        <f t="shared" si="15"/>
        <v>Policy348</v>
      </c>
      <c r="C349" s="7" t="s">
        <v>12</v>
      </c>
      <c r="D349" s="6">
        <v>2024</v>
      </c>
      <c r="E349" s="6">
        <v>2025</v>
      </c>
      <c r="F349" s="8">
        <v>3165519</v>
      </c>
    </row>
    <row r="350" spans="1:6" x14ac:dyDescent="0.4">
      <c r="A350" s="6">
        <f t="shared" si="16"/>
        <v>349</v>
      </c>
      <c r="B350" s="6" t="str">
        <f t="shared" si="15"/>
        <v>Policy349</v>
      </c>
      <c r="C350" s="7" t="s">
        <v>11</v>
      </c>
      <c r="D350" s="6">
        <v>2025</v>
      </c>
      <c r="E350" s="6">
        <v>2026</v>
      </c>
      <c r="F350" s="8">
        <v>20022</v>
      </c>
    </row>
    <row r="351" spans="1:6" x14ac:dyDescent="0.4">
      <c r="A351" s="6">
        <f t="shared" si="16"/>
        <v>350</v>
      </c>
      <c r="B351" s="6" t="str">
        <f t="shared" si="15"/>
        <v>Policy350</v>
      </c>
      <c r="C351" s="7" t="s">
        <v>11</v>
      </c>
      <c r="D351" s="6">
        <v>2025</v>
      </c>
      <c r="E351" s="6">
        <v>2026</v>
      </c>
      <c r="F351" s="8">
        <v>39687</v>
      </c>
    </row>
    <row r="352" spans="1:6" x14ac:dyDescent="0.4">
      <c r="A352" s="6">
        <f t="shared" si="16"/>
        <v>351</v>
      </c>
      <c r="B352" s="6" t="str">
        <f t="shared" si="15"/>
        <v>Policy351</v>
      </c>
      <c r="C352" s="7" t="s">
        <v>12</v>
      </c>
      <c r="D352" s="6">
        <v>2025</v>
      </c>
      <c r="E352" s="6">
        <v>2026</v>
      </c>
      <c r="F352" s="8">
        <v>2176468</v>
      </c>
    </row>
    <row r="353" spans="1:6" x14ac:dyDescent="0.4">
      <c r="A353" s="6">
        <f t="shared" si="16"/>
        <v>352</v>
      </c>
      <c r="B353" s="6" t="str">
        <f t="shared" si="15"/>
        <v>Policy352</v>
      </c>
      <c r="C353" s="7" t="s">
        <v>12</v>
      </c>
      <c r="D353" s="6">
        <v>2021</v>
      </c>
      <c r="E353" s="6">
        <v>2025</v>
      </c>
      <c r="F353" s="8">
        <v>4945681</v>
      </c>
    </row>
    <row r="354" spans="1:6" x14ac:dyDescent="0.4">
      <c r="A354" s="6">
        <f t="shared" si="16"/>
        <v>353</v>
      </c>
      <c r="B354" s="6" t="str">
        <f t="shared" si="15"/>
        <v>Policy353</v>
      </c>
      <c r="C354" s="7" t="s">
        <v>11</v>
      </c>
      <c r="D354" s="6">
        <v>2025</v>
      </c>
      <c r="E354" s="6">
        <v>2026</v>
      </c>
      <c r="F354" s="8">
        <v>10243</v>
      </c>
    </row>
    <row r="355" spans="1:6" x14ac:dyDescent="0.4">
      <c r="A355" s="6">
        <f t="shared" si="16"/>
        <v>354</v>
      </c>
      <c r="B355" s="6" t="str">
        <f t="shared" si="15"/>
        <v>Policy354</v>
      </c>
      <c r="C355" s="7" t="s">
        <v>11</v>
      </c>
      <c r="D355" s="6">
        <v>2022</v>
      </c>
      <c r="E355" s="6">
        <v>2024</v>
      </c>
      <c r="F355" s="8">
        <v>18538</v>
      </c>
    </row>
    <row r="356" spans="1:6" x14ac:dyDescent="0.4">
      <c r="A356" s="6">
        <f t="shared" si="16"/>
        <v>355</v>
      </c>
      <c r="B356" s="6" t="str">
        <f t="shared" si="15"/>
        <v>Policy355</v>
      </c>
      <c r="C356" s="7" t="s">
        <v>12</v>
      </c>
      <c r="D356" s="6">
        <v>2021</v>
      </c>
      <c r="E356" s="6">
        <v>2022</v>
      </c>
      <c r="F356" s="8">
        <v>2832603</v>
      </c>
    </row>
    <row r="357" spans="1:6" x14ac:dyDescent="0.4">
      <c r="A357" s="6">
        <f t="shared" si="16"/>
        <v>356</v>
      </c>
      <c r="B357" s="6" t="str">
        <f t="shared" si="15"/>
        <v>Policy356</v>
      </c>
      <c r="C357" s="7" t="s">
        <v>11</v>
      </c>
      <c r="D357" s="6">
        <v>2021</v>
      </c>
      <c r="E357" s="6">
        <v>2023</v>
      </c>
      <c r="F357" s="8">
        <v>35620</v>
      </c>
    </row>
    <row r="358" spans="1:6" x14ac:dyDescent="0.4">
      <c r="A358" s="6">
        <f t="shared" si="16"/>
        <v>357</v>
      </c>
      <c r="B358" s="6" t="str">
        <f t="shared" si="15"/>
        <v>Policy357</v>
      </c>
      <c r="C358" s="7" t="s">
        <v>12</v>
      </c>
      <c r="D358" s="6">
        <v>2023</v>
      </c>
      <c r="E358" s="6">
        <v>2024</v>
      </c>
      <c r="F358" s="8">
        <v>3530454</v>
      </c>
    </row>
    <row r="359" spans="1:6" x14ac:dyDescent="0.4">
      <c r="A359" s="6">
        <f t="shared" si="16"/>
        <v>358</v>
      </c>
      <c r="B359" s="6" t="str">
        <f t="shared" si="15"/>
        <v>Policy358</v>
      </c>
      <c r="C359" s="7" t="s">
        <v>12</v>
      </c>
      <c r="D359" s="6">
        <v>2021</v>
      </c>
      <c r="E359" s="6">
        <v>2025</v>
      </c>
      <c r="F359" s="8">
        <v>2598093</v>
      </c>
    </row>
    <row r="360" spans="1:6" x14ac:dyDescent="0.4">
      <c r="A360" s="6">
        <f t="shared" si="16"/>
        <v>359</v>
      </c>
      <c r="B360" s="6" t="str">
        <f t="shared" si="15"/>
        <v>Policy359</v>
      </c>
      <c r="C360" s="7" t="s">
        <v>11</v>
      </c>
      <c r="D360" s="6">
        <v>2022</v>
      </c>
      <c r="E360" s="6">
        <v>2025</v>
      </c>
      <c r="F360" s="8">
        <v>1938</v>
      </c>
    </row>
    <row r="361" spans="1:6" x14ac:dyDescent="0.4">
      <c r="A361" s="6">
        <f t="shared" si="16"/>
        <v>360</v>
      </c>
      <c r="B361" s="6" t="str">
        <f t="shared" si="15"/>
        <v>Policy360</v>
      </c>
      <c r="C361" s="7" t="s">
        <v>12</v>
      </c>
      <c r="D361" s="6">
        <v>2025</v>
      </c>
      <c r="E361" s="6">
        <v>2026</v>
      </c>
      <c r="F361" s="8">
        <v>1315237</v>
      </c>
    </row>
    <row r="362" spans="1:6" x14ac:dyDescent="0.4">
      <c r="A362" s="6">
        <f t="shared" si="16"/>
        <v>361</v>
      </c>
      <c r="B362" s="6" t="str">
        <f t="shared" si="15"/>
        <v>Policy361</v>
      </c>
      <c r="C362" s="7" t="s">
        <v>11</v>
      </c>
      <c r="D362" s="6">
        <v>2021</v>
      </c>
      <c r="E362" s="6">
        <v>2025</v>
      </c>
      <c r="F362" s="8">
        <v>21587</v>
      </c>
    </row>
    <row r="363" spans="1:6" x14ac:dyDescent="0.4">
      <c r="A363" s="6">
        <f t="shared" si="16"/>
        <v>362</v>
      </c>
      <c r="B363" s="6" t="str">
        <f t="shared" si="15"/>
        <v>Policy362</v>
      </c>
      <c r="C363" s="7" t="s">
        <v>12</v>
      </c>
      <c r="D363" s="6">
        <v>2023</v>
      </c>
      <c r="E363" s="6">
        <v>2025</v>
      </c>
      <c r="F363" s="8">
        <v>1593817</v>
      </c>
    </row>
    <row r="364" spans="1:6" x14ac:dyDescent="0.4">
      <c r="A364" s="6">
        <f t="shared" si="16"/>
        <v>363</v>
      </c>
      <c r="B364" s="6" t="str">
        <f t="shared" si="15"/>
        <v>Policy363</v>
      </c>
      <c r="C364" s="7" t="s">
        <v>12</v>
      </c>
      <c r="D364" s="6">
        <v>2025</v>
      </c>
      <c r="E364" s="6">
        <v>2026</v>
      </c>
      <c r="F364" s="8">
        <v>3531539</v>
      </c>
    </row>
    <row r="365" spans="1:6" x14ac:dyDescent="0.4">
      <c r="A365" s="6">
        <f t="shared" si="16"/>
        <v>364</v>
      </c>
      <c r="B365" s="6" t="str">
        <f t="shared" si="15"/>
        <v>Policy364</v>
      </c>
      <c r="C365" s="7" t="s">
        <v>12</v>
      </c>
      <c r="D365" s="6">
        <v>2021</v>
      </c>
      <c r="E365" s="6">
        <v>2024</v>
      </c>
      <c r="F365" s="8">
        <v>2533751</v>
      </c>
    </row>
    <row r="366" spans="1:6" x14ac:dyDescent="0.4">
      <c r="A366" s="6">
        <f t="shared" si="16"/>
        <v>365</v>
      </c>
      <c r="B366" s="6" t="str">
        <f t="shared" si="15"/>
        <v>Policy365</v>
      </c>
      <c r="C366" s="7" t="s">
        <v>12</v>
      </c>
      <c r="D366" s="6">
        <v>2022</v>
      </c>
      <c r="E366" s="6">
        <v>2025</v>
      </c>
      <c r="F366" s="8">
        <v>1777934</v>
      </c>
    </row>
    <row r="367" spans="1:6" x14ac:dyDescent="0.4">
      <c r="A367" s="6">
        <f t="shared" si="16"/>
        <v>366</v>
      </c>
      <c r="B367" s="6" t="str">
        <f t="shared" si="15"/>
        <v>Policy366</v>
      </c>
      <c r="C367" s="7" t="s">
        <v>11</v>
      </c>
      <c r="D367" s="6">
        <v>2025</v>
      </c>
      <c r="E367" s="6">
        <v>2026</v>
      </c>
      <c r="F367" s="8">
        <v>13514</v>
      </c>
    </row>
    <row r="368" spans="1:6" x14ac:dyDescent="0.4">
      <c r="A368" s="6">
        <f t="shared" si="16"/>
        <v>367</v>
      </c>
      <c r="B368" s="6" t="str">
        <f t="shared" si="15"/>
        <v>Policy367</v>
      </c>
      <c r="C368" s="7" t="s">
        <v>11</v>
      </c>
      <c r="D368" s="6">
        <v>2022</v>
      </c>
      <c r="E368" s="6">
        <v>2024</v>
      </c>
      <c r="F368" s="8">
        <v>43215</v>
      </c>
    </row>
    <row r="369" spans="1:6" x14ac:dyDescent="0.4">
      <c r="A369" s="6">
        <f t="shared" si="16"/>
        <v>368</v>
      </c>
      <c r="B369" s="6" t="str">
        <f t="shared" si="15"/>
        <v>Policy368</v>
      </c>
      <c r="C369" s="7" t="s">
        <v>11</v>
      </c>
      <c r="D369" s="6">
        <v>2024</v>
      </c>
      <c r="E369" s="6">
        <v>2026</v>
      </c>
      <c r="F369" s="8">
        <v>32350</v>
      </c>
    </row>
    <row r="370" spans="1:6" x14ac:dyDescent="0.4">
      <c r="A370" s="6">
        <f t="shared" si="16"/>
        <v>369</v>
      </c>
      <c r="B370" s="6" t="str">
        <f t="shared" si="15"/>
        <v>Policy369</v>
      </c>
      <c r="C370" s="7" t="s">
        <v>12</v>
      </c>
      <c r="D370" s="6">
        <v>2022</v>
      </c>
      <c r="E370" s="6">
        <v>2024</v>
      </c>
      <c r="F370" s="8">
        <v>2610322</v>
      </c>
    </row>
    <row r="371" spans="1:6" x14ac:dyDescent="0.4">
      <c r="A371" s="6">
        <f t="shared" si="16"/>
        <v>370</v>
      </c>
      <c r="B371" s="6" t="str">
        <f t="shared" si="15"/>
        <v>Policy370</v>
      </c>
      <c r="C371" s="7" t="s">
        <v>12</v>
      </c>
      <c r="D371" s="6">
        <v>2025</v>
      </c>
      <c r="E371" s="6">
        <v>2026</v>
      </c>
      <c r="F371" s="8">
        <v>2015534</v>
      </c>
    </row>
    <row r="372" spans="1:6" x14ac:dyDescent="0.4">
      <c r="A372" s="6">
        <f t="shared" si="16"/>
        <v>371</v>
      </c>
      <c r="B372" s="6" t="str">
        <f t="shared" si="15"/>
        <v>Policy371</v>
      </c>
      <c r="C372" s="7" t="s">
        <v>12</v>
      </c>
      <c r="D372" s="6">
        <v>2021</v>
      </c>
      <c r="E372" s="6">
        <v>2022</v>
      </c>
      <c r="F372" s="8">
        <v>433574</v>
      </c>
    </row>
    <row r="373" spans="1:6" x14ac:dyDescent="0.4">
      <c r="A373" s="6">
        <f t="shared" si="16"/>
        <v>372</v>
      </c>
      <c r="B373" s="6" t="str">
        <f t="shared" si="15"/>
        <v>Policy372</v>
      </c>
      <c r="C373" s="7" t="s">
        <v>11</v>
      </c>
      <c r="D373" s="6">
        <v>2023</v>
      </c>
      <c r="E373" s="6">
        <v>2024</v>
      </c>
      <c r="F373" s="8">
        <v>10104</v>
      </c>
    </row>
    <row r="374" spans="1:6" x14ac:dyDescent="0.4">
      <c r="A374" s="6">
        <f t="shared" si="16"/>
        <v>373</v>
      </c>
      <c r="B374" s="6" t="str">
        <f t="shared" si="15"/>
        <v>Policy373</v>
      </c>
      <c r="C374" s="7" t="s">
        <v>12</v>
      </c>
      <c r="D374" s="6">
        <v>2022</v>
      </c>
      <c r="E374" s="6">
        <v>2024</v>
      </c>
      <c r="F374" s="8">
        <v>3043655</v>
      </c>
    </row>
    <row r="375" spans="1:6" x14ac:dyDescent="0.4">
      <c r="A375" s="6">
        <f t="shared" si="16"/>
        <v>374</v>
      </c>
      <c r="B375" s="6" t="str">
        <f t="shared" si="15"/>
        <v>Policy374</v>
      </c>
      <c r="C375" s="7" t="s">
        <v>11</v>
      </c>
      <c r="D375" s="6">
        <v>2024</v>
      </c>
      <c r="E375" s="6">
        <v>2026</v>
      </c>
      <c r="F375" s="8">
        <v>16850</v>
      </c>
    </row>
    <row r="376" spans="1:6" x14ac:dyDescent="0.4">
      <c r="A376" s="6">
        <f t="shared" si="16"/>
        <v>375</v>
      </c>
      <c r="B376" s="6" t="str">
        <f t="shared" si="15"/>
        <v>Policy375</v>
      </c>
      <c r="C376" s="7" t="s">
        <v>11</v>
      </c>
      <c r="D376" s="6">
        <v>2023</v>
      </c>
      <c r="E376" s="6">
        <v>2024</v>
      </c>
      <c r="F376" s="8">
        <v>36258</v>
      </c>
    </row>
    <row r="377" spans="1:6" x14ac:dyDescent="0.4">
      <c r="A377" s="6">
        <f t="shared" si="16"/>
        <v>376</v>
      </c>
      <c r="B377" s="6" t="str">
        <f t="shared" si="15"/>
        <v>Policy376</v>
      </c>
      <c r="C377" s="7" t="s">
        <v>11</v>
      </c>
      <c r="D377" s="6">
        <v>2022</v>
      </c>
      <c r="E377" s="6">
        <v>2024</v>
      </c>
      <c r="F377" s="8">
        <v>21625</v>
      </c>
    </row>
    <row r="378" spans="1:6" x14ac:dyDescent="0.4">
      <c r="A378" s="6">
        <f t="shared" si="16"/>
        <v>377</v>
      </c>
      <c r="B378" s="6" t="str">
        <f t="shared" si="15"/>
        <v>Policy377</v>
      </c>
      <c r="C378" s="7" t="s">
        <v>11</v>
      </c>
      <c r="D378" s="6">
        <v>2023</v>
      </c>
      <c r="E378" s="6">
        <v>2024</v>
      </c>
      <c r="F378" s="8">
        <v>27605</v>
      </c>
    </row>
    <row r="379" spans="1:6" x14ac:dyDescent="0.4">
      <c r="A379" s="6">
        <f t="shared" si="16"/>
        <v>378</v>
      </c>
      <c r="B379" s="6" t="str">
        <f t="shared" si="15"/>
        <v>Policy378</v>
      </c>
      <c r="C379" s="7" t="s">
        <v>12</v>
      </c>
      <c r="D379" s="6">
        <v>2023</v>
      </c>
      <c r="E379" s="6">
        <v>2025</v>
      </c>
      <c r="F379" s="8">
        <v>4951409</v>
      </c>
    </row>
    <row r="380" spans="1:6" x14ac:dyDescent="0.4">
      <c r="A380" s="6">
        <f t="shared" si="16"/>
        <v>379</v>
      </c>
      <c r="B380" s="6" t="str">
        <f t="shared" si="15"/>
        <v>Policy379</v>
      </c>
      <c r="C380" s="7" t="s">
        <v>12</v>
      </c>
      <c r="D380" s="6">
        <v>2025</v>
      </c>
      <c r="E380" s="6">
        <v>2026</v>
      </c>
      <c r="F380" s="8">
        <v>1643687</v>
      </c>
    </row>
    <row r="381" spans="1:6" x14ac:dyDescent="0.4">
      <c r="A381" s="6">
        <f t="shared" si="16"/>
        <v>380</v>
      </c>
      <c r="B381" s="6" t="str">
        <f t="shared" si="15"/>
        <v>Policy380</v>
      </c>
      <c r="C381" s="7" t="s">
        <v>11</v>
      </c>
      <c r="D381" s="6">
        <v>2022</v>
      </c>
      <c r="E381" s="6">
        <v>2023</v>
      </c>
      <c r="F381" s="8">
        <v>4312</v>
      </c>
    </row>
    <row r="382" spans="1:6" x14ac:dyDescent="0.4">
      <c r="A382" s="6">
        <f t="shared" si="16"/>
        <v>381</v>
      </c>
      <c r="B382" s="6" t="str">
        <f t="shared" si="15"/>
        <v>Policy381</v>
      </c>
      <c r="C382" s="7" t="s">
        <v>11</v>
      </c>
      <c r="D382" s="6">
        <v>2024</v>
      </c>
      <c r="E382" s="6">
        <v>2025</v>
      </c>
      <c r="F382" s="8">
        <v>14139</v>
      </c>
    </row>
    <row r="383" spans="1:6" x14ac:dyDescent="0.4">
      <c r="A383" s="6">
        <f t="shared" si="16"/>
        <v>382</v>
      </c>
      <c r="B383" s="6" t="str">
        <f t="shared" si="15"/>
        <v>Policy382</v>
      </c>
      <c r="C383" s="7" t="s">
        <v>11</v>
      </c>
      <c r="D383" s="6">
        <v>2022</v>
      </c>
      <c r="E383" s="6">
        <v>2024</v>
      </c>
      <c r="F383" s="8">
        <v>23446</v>
      </c>
    </row>
    <row r="384" spans="1:6" x14ac:dyDescent="0.4">
      <c r="A384" s="6">
        <f t="shared" si="16"/>
        <v>383</v>
      </c>
      <c r="B384" s="6" t="str">
        <f t="shared" si="15"/>
        <v>Policy383</v>
      </c>
      <c r="C384" s="7" t="s">
        <v>12</v>
      </c>
      <c r="D384" s="6">
        <v>2021</v>
      </c>
      <c r="E384" s="6">
        <v>2022</v>
      </c>
      <c r="F384" s="8">
        <v>4524337</v>
      </c>
    </row>
    <row r="385" spans="1:6" x14ac:dyDescent="0.4">
      <c r="A385" s="6">
        <f t="shared" si="16"/>
        <v>384</v>
      </c>
      <c r="B385" s="6" t="str">
        <f t="shared" si="15"/>
        <v>Policy384</v>
      </c>
      <c r="C385" s="7" t="s">
        <v>11</v>
      </c>
      <c r="D385" s="6">
        <v>2024</v>
      </c>
      <c r="E385" s="6">
        <v>2025</v>
      </c>
      <c r="F385" s="8">
        <v>9855</v>
      </c>
    </row>
    <row r="386" spans="1:6" x14ac:dyDescent="0.4">
      <c r="A386" s="6">
        <f t="shared" si="16"/>
        <v>385</v>
      </c>
      <c r="B386" s="6" t="str">
        <f t="shared" si="15"/>
        <v>Policy385</v>
      </c>
      <c r="C386" s="7" t="s">
        <v>11</v>
      </c>
      <c r="D386" s="6">
        <v>2023</v>
      </c>
      <c r="E386" s="6">
        <v>2025</v>
      </c>
      <c r="F386" s="8">
        <v>22644</v>
      </c>
    </row>
    <row r="387" spans="1:6" x14ac:dyDescent="0.4">
      <c r="A387" s="6">
        <f t="shared" si="16"/>
        <v>386</v>
      </c>
      <c r="B387" s="6" t="str">
        <f t="shared" ref="B387:B450" si="17">"Policy"&amp;A387</f>
        <v>Policy386</v>
      </c>
      <c r="C387" s="7" t="s">
        <v>12</v>
      </c>
      <c r="D387" s="6">
        <v>2025</v>
      </c>
      <c r="E387" s="6">
        <v>2026</v>
      </c>
      <c r="F387" s="8">
        <v>2207164</v>
      </c>
    </row>
    <row r="388" spans="1:6" x14ac:dyDescent="0.4">
      <c r="A388" s="6">
        <f t="shared" ref="A388:A451" si="18">A387+1</f>
        <v>387</v>
      </c>
      <c r="B388" s="6" t="str">
        <f t="shared" si="17"/>
        <v>Policy387</v>
      </c>
      <c r="C388" s="7" t="s">
        <v>12</v>
      </c>
      <c r="D388" s="6">
        <v>2025</v>
      </c>
      <c r="E388" s="6">
        <v>2026</v>
      </c>
      <c r="F388" s="8">
        <v>283230</v>
      </c>
    </row>
    <row r="389" spans="1:6" x14ac:dyDescent="0.4">
      <c r="A389" s="6">
        <f t="shared" si="18"/>
        <v>388</v>
      </c>
      <c r="B389" s="6" t="str">
        <f t="shared" si="17"/>
        <v>Policy388</v>
      </c>
      <c r="C389" s="7" t="s">
        <v>12</v>
      </c>
      <c r="D389" s="6">
        <v>2021</v>
      </c>
      <c r="E389" s="6">
        <v>2026</v>
      </c>
      <c r="F389" s="8">
        <v>2546890</v>
      </c>
    </row>
    <row r="390" spans="1:6" x14ac:dyDescent="0.4">
      <c r="A390" s="6">
        <f t="shared" si="18"/>
        <v>389</v>
      </c>
      <c r="B390" s="6" t="str">
        <f t="shared" si="17"/>
        <v>Policy389</v>
      </c>
      <c r="C390" s="7" t="s">
        <v>12</v>
      </c>
      <c r="D390" s="6">
        <v>2022</v>
      </c>
      <c r="E390" s="6">
        <v>2026</v>
      </c>
      <c r="F390" s="8">
        <v>244287</v>
      </c>
    </row>
    <row r="391" spans="1:6" x14ac:dyDescent="0.4">
      <c r="A391" s="6">
        <f t="shared" si="18"/>
        <v>390</v>
      </c>
      <c r="B391" s="6" t="str">
        <f t="shared" si="17"/>
        <v>Policy390</v>
      </c>
      <c r="C391" s="7" t="s">
        <v>11</v>
      </c>
      <c r="D391" s="6">
        <v>2021</v>
      </c>
      <c r="E391" s="6">
        <v>2024</v>
      </c>
      <c r="F391" s="8">
        <v>32493</v>
      </c>
    </row>
    <row r="392" spans="1:6" x14ac:dyDescent="0.4">
      <c r="A392" s="6">
        <f t="shared" si="18"/>
        <v>391</v>
      </c>
      <c r="B392" s="6" t="str">
        <f t="shared" si="17"/>
        <v>Policy391</v>
      </c>
      <c r="C392" s="7" t="s">
        <v>12</v>
      </c>
      <c r="D392" s="6">
        <v>2022</v>
      </c>
      <c r="E392" s="6">
        <v>2023</v>
      </c>
      <c r="F392" s="8">
        <v>1550877</v>
      </c>
    </row>
    <row r="393" spans="1:6" x14ac:dyDescent="0.4">
      <c r="A393" s="6">
        <f t="shared" si="18"/>
        <v>392</v>
      </c>
      <c r="B393" s="6" t="str">
        <f t="shared" si="17"/>
        <v>Policy392</v>
      </c>
      <c r="C393" s="7" t="s">
        <v>11</v>
      </c>
      <c r="D393" s="6">
        <v>2024</v>
      </c>
      <c r="E393" s="6">
        <v>2025</v>
      </c>
      <c r="F393" s="8">
        <v>35282</v>
      </c>
    </row>
    <row r="394" spans="1:6" x14ac:dyDescent="0.4">
      <c r="A394" s="6">
        <f t="shared" si="18"/>
        <v>393</v>
      </c>
      <c r="B394" s="6" t="str">
        <f t="shared" si="17"/>
        <v>Policy393</v>
      </c>
      <c r="C394" s="7" t="s">
        <v>12</v>
      </c>
      <c r="D394" s="6">
        <v>2023</v>
      </c>
      <c r="E394" s="6">
        <v>2026</v>
      </c>
      <c r="F394" s="8">
        <v>594635</v>
      </c>
    </row>
    <row r="395" spans="1:6" x14ac:dyDescent="0.4">
      <c r="A395" s="6">
        <f t="shared" si="18"/>
        <v>394</v>
      </c>
      <c r="B395" s="6" t="str">
        <f t="shared" si="17"/>
        <v>Policy394</v>
      </c>
      <c r="C395" s="7" t="s">
        <v>11</v>
      </c>
      <c r="D395" s="6">
        <v>2022</v>
      </c>
      <c r="E395" s="6">
        <v>2026</v>
      </c>
      <c r="F395" s="8">
        <v>2257</v>
      </c>
    </row>
    <row r="396" spans="1:6" x14ac:dyDescent="0.4">
      <c r="A396" s="6">
        <f t="shared" si="18"/>
        <v>395</v>
      </c>
      <c r="B396" s="6" t="str">
        <f t="shared" si="17"/>
        <v>Policy395</v>
      </c>
      <c r="C396" s="7" t="s">
        <v>11</v>
      </c>
      <c r="D396" s="6">
        <v>2023</v>
      </c>
      <c r="E396" s="6">
        <v>2026</v>
      </c>
      <c r="F396" s="8">
        <v>41258</v>
      </c>
    </row>
    <row r="397" spans="1:6" x14ac:dyDescent="0.4">
      <c r="A397" s="6">
        <f t="shared" si="18"/>
        <v>396</v>
      </c>
      <c r="B397" s="6" t="str">
        <f t="shared" si="17"/>
        <v>Policy396</v>
      </c>
      <c r="C397" s="7" t="s">
        <v>11</v>
      </c>
      <c r="D397" s="6">
        <v>2024</v>
      </c>
      <c r="E397" s="6">
        <v>2025</v>
      </c>
      <c r="F397" s="8">
        <v>9342</v>
      </c>
    </row>
    <row r="398" spans="1:6" x14ac:dyDescent="0.4">
      <c r="A398" s="6">
        <f t="shared" si="18"/>
        <v>397</v>
      </c>
      <c r="B398" s="6" t="str">
        <f t="shared" si="17"/>
        <v>Policy397</v>
      </c>
      <c r="C398" s="7" t="s">
        <v>12</v>
      </c>
      <c r="D398" s="6">
        <v>2021</v>
      </c>
      <c r="E398" s="6">
        <v>2026</v>
      </c>
      <c r="F398" s="8">
        <v>1287578</v>
      </c>
    </row>
    <row r="399" spans="1:6" x14ac:dyDescent="0.4">
      <c r="A399" s="6">
        <f t="shared" si="18"/>
        <v>398</v>
      </c>
      <c r="B399" s="6" t="str">
        <f t="shared" si="17"/>
        <v>Policy398</v>
      </c>
      <c r="C399" s="7" t="s">
        <v>11</v>
      </c>
      <c r="D399" s="6">
        <v>2025</v>
      </c>
      <c r="E399" s="6">
        <v>2026</v>
      </c>
      <c r="F399" s="8">
        <v>42314</v>
      </c>
    </row>
    <row r="400" spans="1:6" x14ac:dyDescent="0.4">
      <c r="A400" s="6">
        <f t="shared" si="18"/>
        <v>399</v>
      </c>
      <c r="B400" s="6" t="str">
        <f t="shared" si="17"/>
        <v>Policy399</v>
      </c>
      <c r="C400" s="7" t="s">
        <v>11</v>
      </c>
      <c r="D400" s="6">
        <v>2022</v>
      </c>
      <c r="E400" s="6">
        <v>2023</v>
      </c>
      <c r="F400" s="8">
        <v>2955</v>
      </c>
    </row>
    <row r="401" spans="1:6" x14ac:dyDescent="0.4">
      <c r="A401" s="6">
        <f t="shared" si="18"/>
        <v>400</v>
      </c>
      <c r="B401" s="6" t="str">
        <f t="shared" si="17"/>
        <v>Policy400</v>
      </c>
      <c r="C401" s="7" t="s">
        <v>11</v>
      </c>
      <c r="D401" s="6">
        <v>2025</v>
      </c>
      <c r="E401" s="6">
        <v>2026</v>
      </c>
      <c r="F401" s="8">
        <v>31844</v>
      </c>
    </row>
    <row r="402" spans="1:6" x14ac:dyDescent="0.4">
      <c r="A402" s="6">
        <f t="shared" si="18"/>
        <v>401</v>
      </c>
      <c r="B402" s="6" t="str">
        <f t="shared" si="17"/>
        <v>Policy401</v>
      </c>
      <c r="C402" s="7" t="s">
        <v>11</v>
      </c>
      <c r="D402" s="6">
        <v>2021</v>
      </c>
      <c r="E402" s="6">
        <v>2024</v>
      </c>
      <c r="F402" s="8">
        <v>28164</v>
      </c>
    </row>
    <row r="403" spans="1:6" x14ac:dyDescent="0.4">
      <c r="A403" s="6">
        <f t="shared" si="18"/>
        <v>402</v>
      </c>
      <c r="B403" s="6" t="str">
        <f t="shared" si="17"/>
        <v>Policy402</v>
      </c>
      <c r="C403" s="7" t="s">
        <v>11</v>
      </c>
      <c r="D403" s="6">
        <v>2024</v>
      </c>
      <c r="E403" s="6">
        <v>2026</v>
      </c>
      <c r="F403" s="8">
        <v>49784</v>
      </c>
    </row>
    <row r="404" spans="1:6" x14ac:dyDescent="0.4">
      <c r="A404" s="6">
        <f t="shared" si="18"/>
        <v>403</v>
      </c>
      <c r="B404" s="6" t="str">
        <f t="shared" si="17"/>
        <v>Policy403</v>
      </c>
      <c r="C404" s="7" t="s">
        <v>12</v>
      </c>
      <c r="D404" s="6">
        <v>2023</v>
      </c>
      <c r="E404" s="6">
        <v>2024</v>
      </c>
      <c r="F404" s="8">
        <v>958831</v>
      </c>
    </row>
    <row r="405" spans="1:6" x14ac:dyDescent="0.4">
      <c r="A405" s="6">
        <f t="shared" si="18"/>
        <v>404</v>
      </c>
      <c r="B405" s="6" t="str">
        <f t="shared" si="17"/>
        <v>Policy404</v>
      </c>
      <c r="C405" s="7" t="s">
        <v>12</v>
      </c>
      <c r="D405" s="6">
        <v>2022</v>
      </c>
      <c r="E405" s="6">
        <v>2025</v>
      </c>
      <c r="F405" s="8">
        <v>3355266</v>
      </c>
    </row>
    <row r="406" spans="1:6" x14ac:dyDescent="0.4">
      <c r="A406" s="6">
        <f t="shared" si="18"/>
        <v>405</v>
      </c>
      <c r="B406" s="6" t="str">
        <f t="shared" si="17"/>
        <v>Policy405</v>
      </c>
      <c r="C406" s="7" t="s">
        <v>12</v>
      </c>
      <c r="D406" s="6">
        <v>2021</v>
      </c>
      <c r="E406" s="6">
        <v>2023</v>
      </c>
      <c r="F406" s="8">
        <v>4110013</v>
      </c>
    </row>
    <row r="407" spans="1:6" x14ac:dyDescent="0.4">
      <c r="A407" s="6">
        <f t="shared" si="18"/>
        <v>406</v>
      </c>
      <c r="B407" s="6" t="str">
        <f t="shared" si="17"/>
        <v>Policy406</v>
      </c>
      <c r="C407" s="7" t="s">
        <v>11</v>
      </c>
      <c r="D407" s="6">
        <v>2023</v>
      </c>
      <c r="E407" s="6">
        <v>2026</v>
      </c>
      <c r="F407" s="8">
        <v>48256</v>
      </c>
    </row>
    <row r="408" spans="1:6" x14ac:dyDescent="0.4">
      <c r="A408" s="6">
        <f t="shared" si="18"/>
        <v>407</v>
      </c>
      <c r="B408" s="6" t="str">
        <f t="shared" si="17"/>
        <v>Policy407</v>
      </c>
      <c r="C408" s="7" t="s">
        <v>12</v>
      </c>
      <c r="D408" s="6">
        <v>2025</v>
      </c>
      <c r="E408" s="6">
        <v>2026</v>
      </c>
      <c r="F408" s="8">
        <v>4091790</v>
      </c>
    </row>
    <row r="409" spans="1:6" x14ac:dyDescent="0.4">
      <c r="A409" s="6">
        <f t="shared" si="18"/>
        <v>408</v>
      </c>
      <c r="B409" s="6" t="str">
        <f t="shared" si="17"/>
        <v>Policy408</v>
      </c>
      <c r="C409" s="7" t="s">
        <v>12</v>
      </c>
      <c r="D409" s="6">
        <v>2023</v>
      </c>
      <c r="E409" s="6">
        <v>2026</v>
      </c>
      <c r="F409" s="8">
        <v>989198</v>
      </c>
    </row>
    <row r="410" spans="1:6" x14ac:dyDescent="0.4">
      <c r="A410" s="6">
        <f t="shared" si="18"/>
        <v>409</v>
      </c>
      <c r="B410" s="6" t="str">
        <f t="shared" si="17"/>
        <v>Policy409</v>
      </c>
      <c r="C410" s="7" t="s">
        <v>11</v>
      </c>
      <c r="D410" s="6">
        <v>2023</v>
      </c>
      <c r="E410" s="6">
        <v>2025</v>
      </c>
      <c r="F410" s="8">
        <v>1371</v>
      </c>
    </row>
    <row r="411" spans="1:6" x14ac:dyDescent="0.4">
      <c r="A411" s="6">
        <f t="shared" si="18"/>
        <v>410</v>
      </c>
      <c r="B411" s="6" t="str">
        <f t="shared" si="17"/>
        <v>Policy410</v>
      </c>
      <c r="C411" s="7" t="s">
        <v>12</v>
      </c>
      <c r="D411" s="6">
        <v>2021</v>
      </c>
      <c r="E411" s="6">
        <v>2022</v>
      </c>
      <c r="F411" s="8">
        <v>814923</v>
      </c>
    </row>
    <row r="412" spans="1:6" x14ac:dyDescent="0.4">
      <c r="A412" s="6">
        <f t="shared" si="18"/>
        <v>411</v>
      </c>
      <c r="B412" s="6" t="str">
        <f t="shared" si="17"/>
        <v>Policy411</v>
      </c>
      <c r="C412" s="7" t="s">
        <v>11</v>
      </c>
      <c r="D412" s="6">
        <v>2024</v>
      </c>
      <c r="E412" s="6">
        <v>2025</v>
      </c>
      <c r="F412" s="8">
        <v>2941</v>
      </c>
    </row>
    <row r="413" spans="1:6" x14ac:dyDescent="0.4">
      <c r="A413" s="6">
        <f t="shared" si="18"/>
        <v>412</v>
      </c>
      <c r="B413" s="6" t="str">
        <f t="shared" si="17"/>
        <v>Policy412</v>
      </c>
      <c r="C413" s="7" t="s">
        <v>12</v>
      </c>
      <c r="D413" s="6">
        <v>2022</v>
      </c>
      <c r="E413" s="6">
        <v>2025</v>
      </c>
      <c r="F413" s="8">
        <v>560177</v>
      </c>
    </row>
    <row r="414" spans="1:6" x14ac:dyDescent="0.4">
      <c r="A414" s="6">
        <f t="shared" si="18"/>
        <v>413</v>
      </c>
      <c r="B414" s="6" t="str">
        <f t="shared" si="17"/>
        <v>Policy413</v>
      </c>
      <c r="C414" s="7" t="s">
        <v>11</v>
      </c>
      <c r="D414" s="6">
        <v>2021</v>
      </c>
      <c r="E414" s="6">
        <v>2022</v>
      </c>
      <c r="F414" s="8">
        <v>28881</v>
      </c>
    </row>
    <row r="415" spans="1:6" x14ac:dyDescent="0.4">
      <c r="A415" s="6">
        <f t="shared" si="18"/>
        <v>414</v>
      </c>
      <c r="B415" s="6" t="str">
        <f t="shared" si="17"/>
        <v>Policy414</v>
      </c>
      <c r="C415" s="7" t="s">
        <v>12</v>
      </c>
      <c r="D415" s="6">
        <v>2023</v>
      </c>
      <c r="E415" s="6">
        <v>2026</v>
      </c>
      <c r="F415" s="8">
        <v>283927</v>
      </c>
    </row>
    <row r="416" spans="1:6" x14ac:dyDescent="0.4">
      <c r="A416" s="6">
        <f t="shared" si="18"/>
        <v>415</v>
      </c>
      <c r="B416" s="6" t="str">
        <f t="shared" si="17"/>
        <v>Policy415</v>
      </c>
      <c r="C416" s="7" t="s">
        <v>11</v>
      </c>
      <c r="D416" s="6">
        <v>2024</v>
      </c>
      <c r="E416" s="6">
        <v>2025</v>
      </c>
      <c r="F416" s="8">
        <v>22447</v>
      </c>
    </row>
    <row r="417" spans="1:6" x14ac:dyDescent="0.4">
      <c r="A417" s="6">
        <f t="shared" si="18"/>
        <v>416</v>
      </c>
      <c r="B417" s="6" t="str">
        <f t="shared" si="17"/>
        <v>Policy416</v>
      </c>
      <c r="C417" s="7" t="s">
        <v>12</v>
      </c>
      <c r="D417" s="6">
        <v>2024</v>
      </c>
      <c r="E417" s="6">
        <v>2026</v>
      </c>
      <c r="F417" s="8">
        <v>706080</v>
      </c>
    </row>
    <row r="418" spans="1:6" x14ac:dyDescent="0.4">
      <c r="A418" s="6">
        <f t="shared" si="18"/>
        <v>417</v>
      </c>
      <c r="B418" s="6" t="str">
        <f t="shared" si="17"/>
        <v>Policy417</v>
      </c>
      <c r="C418" s="7" t="s">
        <v>11</v>
      </c>
      <c r="D418" s="6">
        <v>2025</v>
      </c>
      <c r="E418" s="6">
        <v>2026</v>
      </c>
      <c r="F418" s="8">
        <v>29947</v>
      </c>
    </row>
    <row r="419" spans="1:6" x14ac:dyDescent="0.4">
      <c r="A419" s="6">
        <f t="shared" si="18"/>
        <v>418</v>
      </c>
      <c r="B419" s="6" t="str">
        <f t="shared" si="17"/>
        <v>Policy418</v>
      </c>
      <c r="C419" s="7" t="s">
        <v>11</v>
      </c>
      <c r="D419" s="6">
        <v>2022</v>
      </c>
      <c r="E419" s="6">
        <v>2026</v>
      </c>
      <c r="F419" s="8">
        <v>38525</v>
      </c>
    </row>
    <row r="420" spans="1:6" x14ac:dyDescent="0.4">
      <c r="A420" s="6">
        <f t="shared" si="18"/>
        <v>419</v>
      </c>
      <c r="B420" s="6" t="str">
        <f t="shared" si="17"/>
        <v>Policy419</v>
      </c>
      <c r="C420" s="7" t="s">
        <v>11</v>
      </c>
      <c r="D420" s="6">
        <v>2021</v>
      </c>
      <c r="E420" s="6">
        <v>2022</v>
      </c>
      <c r="F420" s="8">
        <v>28553</v>
      </c>
    </row>
    <row r="421" spans="1:6" x14ac:dyDescent="0.4">
      <c r="A421" s="6">
        <f t="shared" si="18"/>
        <v>420</v>
      </c>
      <c r="B421" s="6" t="str">
        <f t="shared" si="17"/>
        <v>Policy420</v>
      </c>
      <c r="C421" s="7" t="s">
        <v>12</v>
      </c>
      <c r="D421" s="6">
        <v>2024</v>
      </c>
      <c r="E421" s="6">
        <v>2025</v>
      </c>
      <c r="F421" s="8">
        <v>1921442</v>
      </c>
    </row>
    <row r="422" spans="1:6" x14ac:dyDescent="0.4">
      <c r="A422" s="6">
        <f t="shared" si="18"/>
        <v>421</v>
      </c>
      <c r="B422" s="6" t="str">
        <f t="shared" si="17"/>
        <v>Policy421</v>
      </c>
      <c r="C422" s="7" t="s">
        <v>12</v>
      </c>
      <c r="D422" s="6">
        <v>2023</v>
      </c>
      <c r="E422" s="6">
        <v>2026</v>
      </c>
      <c r="F422" s="8">
        <v>542898</v>
      </c>
    </row>
    <row r="423" spans="1:6" x14ac:dyDescent="0.4">
      <c r="A423" s="6">
        <f t="shared" si="18"/>
        <v>422</v>
      </c>
      <c r="B423" s="6" t="str">
        <f t="shared" si="17"/>
        <v>Policy422</v>
      </c>
      <c r="C423" s="7" t="s">
        <v>11</v>
      </c>
      <c r="D423" s="6">
        <v>2024</v>
      </c>
      <c r="E423" s="6">
        <v>2025</v>
      </c>
      <c r="F423" s="8">
        <v>11389</v>
      </c>
    </row>
    <row r="424" spans="1:6" x14ac:dyDescent="0.4">
      <c r="A424" s="6">
        <f t="shared" si="18"/>
        <v>423</v>
      </c>
      <c r="B424" s="6" t="str">
        <f t="shared" si="17"/>
        <v>Policy423</v>
      </c>
      <c r="C424" s="7" t="s">
        <v>11</v>
      </c>
      <c r="D424" s="6">
        <v>2022</v>
      </c>
      <c r="E424" s="6">
        <v>2025</v>
      </c>
      <c r="F424" s="8">
        <v>35520</v>
      </c>
    </row>
    <row r="425" spans="1:6" x14ac:dyDescent="0.4">
      <c r="A425" s="6">
        <f t="shared" si="18"/>
        <v>424</v>
      </c>
      <c r="B425" s="6" t="str">
        <f t="shared" si="17"/>
        <v>Policy424</v>
      </c>
      <c r="C425" s="7" t="s">
        <v>11</v>
      </c>
      <c r="D425" s="6">
        <v>2021</v>
      </c>
      <c r="E425" s="6">
        <v>2024</v>
      </c>
      <c r="F425" s="8">
        <v>21854</v>
      </c>
    </row>
    <row r="426" spans="1:6" x14ac:dyDescent="0.4">
      <c r="A426" s="6">
        <f t="shared" si="18"/>
        <v>425</v>
      </c>
      <c r="B426" s="6" t="str">
        <f t="shared" si="17"/>
        <v>Policy425</v>
      </c>
      <c r="C426" s="7" t="s">
        <v>11</v>
      </c>
      <c r="D426" s="6">
        <v>2024</v>
      </c>
      <c r="E426" s="6">
        <v>2026</v>
      </c>
      <c r="F426" s="8">
        <v>20178</v>
      </c>
    </row>
    <row r="427" spans="1:6" x14ac:dyDescent="0.4">
      <c r="A427" s="6">
        <f t="shared" si="18"/>
        <v>426</v>
      </c>
      <c r="B427" s="6" t="str">
        <f t="shared" si="17"/>
        <v>Policy426</v>
      </c>
      <c r="C427" s="7" t="s">
        <v>12</v>
      </c>
      <c r="D427" s="6">
        <v>2025</v>
      </c>
      <c r="E427" s="6">
        <v>2026</v>
      </c>
      <c r="F427" s="8">
        <v>2499691</v>
      </c>
    </row>
    <row r="428" spans="1:6" x14ac:dyDescent="0.4">
      <c r="A428" s="6">
        <f t="shared" si="18"/>
        <v>427</v>
      </c>
      <c r="B428" s="6" t="str">
        <f t="shared" si="17"/>
        <v>Policy427</v>
      </c>
      <c r="C428" s="7" t="s">
        <v>11</v>
      </c>
      <c r="D428" s="6">
        <v>2024</v>
      </c>
      <c r="E428" s="6">
        <v>2026</v>
      </c>
      <c r="F428" s="8">
        <v>8204</v>
      </c>
    </row>
    <row r="429" spans="1:6" x14ac:dyDescent="0.4">
      <c r="A429" s="6">
        <f t="shared" si="18"/>
        <v>428</v>
      </c>
      <c r="B429" s="6" t="str">
        <f t="shared" si="17"/>
        <v>Policy428</v>
      </c>
      <c r="C429" s="7" t="s">
        <v>12</v>
      </c>
      <c r="D429" s="6">
        <v>2022</v>
      </c>
      <c r="E429" s="6">
        <v>2024</v>
      </c>
      <c r="F429" s="8">
        <v>227196</v>
      </c>
    </row>
    <row r="430" spans="1:6" x14ac:dyDescent="0.4">
      <c r="A430" s="6">
        <f t="shared" si="18"/>
        <v>429</v>
      </c>
      <c r="B430" s="6" t="str">
        <f t="shared" si="17"/>
        <v>Policy429</v>
      </c>
      <c r="C430" s="7" t="s">
        <v>12</v>
      </c>
      <c r="D430" s="6">
        <v>2025</v>
      </c>
      <c r="E430" s="6">
        <v>2026</v>
      </c>
      <c r="F430" s="8">
        <v>549111</v>
      </c>
    </row>
    <row r="431" spans="1:6" x14ac:dyDescent="0.4">
      <c r="A431" s="6">
        <f t="shared" si="18"/>
        <v>430</v>
      </c>
      <c r="B431" s="6" t="str">
        <f t="shared" si="17"/>
        <v>Policy430</v>
      </c>
      <c r="C431" s="7" t="s">
        <v>11</v>
      </c>
      <c r="D431" s="6">
        <v>2022</v>
      </c>
      <c r="E431" s="6">
        <v>2024</v>
      </c>
      <c r="F431" s="8">
        <v>47438</v>
      </c>
    </row>
    <row r="432" spans="1:6" x14ac:dyDescent="0.4">
      <c r="A432" s="6">
        <f t="shared" si="18"/>
        <v>431</v>
      </c>
      <c r="B432" s="6" t="str">
        <f t="shared" si="17"/>
        <v>Policy431</v>
      </c>
      <c r="C432" s="7" t="s">
        <v>11</v>
      </c>
      <c r="D432" s="6">
        <v>2025</v>
      </c>
      <c r="E432" s="6">
        <v>2026</v>
      </c>
      <c r="F432" s="8">
        <v>29893</v>
      </c>
    </row>
    <row r="433" spans="1:6" x14ac:dyDescent="0.4">
      <c r="A433" s="6">
        <f t="shared" si="18"/>
        <v>432</v>
      </c>
      <c r="B433" s="6" t="str">
        <f t="shared" si="17"/>
        <v>Policy432</v>
      </c>
      <c r="C433" s="7" t="s">
        <v>12</v>
      </c>
      <c r="D433" s="6">
        <v>2024</v>
      </c>
      <c r="E433" s="6">
        <v>2025</v>
      </c>
      <c r="F433" s="8">
        <v>1150123</v>
      </c>
    </row>
    <row r="434" spans="1:6" x14ac:dyDescent="0.4">
      <c r="A434" s="6">
        <f t="shared" si="18"/>
        <v>433</v>
      </c>
      <c r="B434" s="6" t="str">
        <f t="shared" si="17"/>
        <v>Policy433</v>
      </c>
      <c r="C434" s="7" t="s">
        <v>12</v>
      </c>
      <c r="D434" s="6">
        <v>2024</v>
      </c>
      <c r="E434" s="6">
        <v>2026</v>
      </c>
      <c r="F434" s="8">
        <v>2628350</v>
      </c>
    </row>
    <row r="435" spans="1:6" x14ac:dyDescent="0.4">
      <c r="A435" s="6">
        <f t="shared" si="18"/>
        <v>434</v>
      </c>
      <c r="B435" s="6" t="str">
        <f t="shared" si="17"/>
        <v>Policy434</v>
      </c>
      <c r="C435" s="7" t="s">
        <v>12</v>
      </c>
      <c r="D435" s="6">
        <v>2022</v>
      </c>
      <c r="E435" s="6">
        <v>2025</v>
      </c>
      <c r="F435" s="8">
        <v>1962938</v>
      </c>
    </row>
    <row r="436" spans="1:6" x14ac:dyDescent="0.4">
      <c r="A436" s="6">
        <f t="shared" si="18"/>
        <v>435</v>
      </c>
      <c r="B436" s="6" t="str">
        <f t="shared" si="17"/>
        <v>Policy435</v>
      </c>
      <c r="C436" s="7" t="s">
        <v>12</v>
      </c>
      <c r="D436" s="6">
        <v>2023</v>
      </c>
      <c r="E436" s="6">
        <v>2024</v>
      </c>
      <c r="F436" s="8">
        <v>238550</v>
      </c>
    </row>
    <row r="437" spans="1:6" x14ac:dyDescent="0.4">
      <c r="A437" s="6">
        <f t="shared" si="18"/>
        <v>436</v>
      </c>
      <c r="B437" s="6" t="str">
        <f t="shared" si="17"/>
        <v>Policy436</v>
      </c>
      <c r="C437" s="7" t="s">
        <v>12</v>
      </c>
      <c r="D437" s="6">
        <v>2022</v>
      </c>
      <c r="E437" s="6">
        <v>2024</v>
      </c>
      <c r="F437" s="8">
        <v>672310</v>
      </c>
    </row>
    <row r="438" spans="1:6" x14ac:dyDescent="0.4">
      <c r="A438" s="6">
        <f t="shared" si="18"/>
        <v>437</v>
      </c>
      <c r="B438" s="6" t="str">
        <f t="shared" si="17"/>
        <v>Policy437</v>
      </c>
      <c r="C438" s="7" t="s">
        <v>12</v>
      </c>
      <c r="D438" s="6">
        <v>2023</v>
      </c>
      <c r="E438" s="6">
        <v>2025</v>
      </c>
      <c r="F438" s="8">
        <v>1547882</v>
      </c>
    </row>
    <row r="439" spans="1:6" x14ac:dyDescent="0.4">
      <c r="A439" s="6">
        <f t="shared" si="18"/>
        <v>438</v>
      </c>
      <c r="B439" s="6" t="str">
        <f t="shared" si="17"/>
        <v>Policy438</v>
      </c>
      <c r="C439" s="7" t="s">
        <v>12</v>
      </c>
      <c r="D439" s="6">
        <v>2024</v>
      </c>
      <c r="E439" s="6">
        <v>2026</v>
      </c>
      <c r="F439" s="8">
        <v>613697</v>
      </c>
    </row>
    <row r="440" spans="1:6" x14ac:dyDescent="0.4">
      <c r="A440" s="6">
        <f t="shared" si="18"/>
        <v>439</v>
      </c>
      <c r="B440" s="6" t="str">
        <f t="shared" si="17"/>
        <v>Policy439</v>
      </c>
      <c r="C440" s="7" t="s">
        <v>12</v>
      </c>
      <c r="D440" s="6">
        <v>2024</v>
      </c>
      <c r="E440" s="6">
        <v>2026</v>
      </c>
      <c r="F440" s="8">
        <v>1882652</v>
      </c>
    </row>
    <row r="441" spans="1:6" x14ac:dyDescent="0.4">
      <c r="A441" s="6">
        <f t="shared" si="18"/>
        <v>440</v>
      </c>
      <c r="B441" s="6" t="str">
        <f t="shared" si="17"/>
        <v>Policy440</v>
      </c>
      <c r="C441" s="7" t="s">
        <v>12</v>
      </c>
      <c r="D441" s="6">
        <v>2023</v>
      </c>
      <c r="E441" s="6">
        <v>2025</v>
      </c>
      <c r="F441" s="8">
        <v>73741</v>
      </c>
    </row>
    <row r="442" spans="1:6" x14ac:dyDescent="0.4">
      <c r="A442" s="6">
        <f t="shared" si="18"/>
        <v>441</v>
      </c>
      <c r="B442" s="6" t="str">
        <f t="shared" si="17"/>
        <v>Policy441</v>
      </c>
      <c r="C442" s="7" t="s">
        <v>12</v>
      </c>
      <c r="D442" s="6">
        <v>2024</v>
      </c>
      <c r="E442" s="6">
        <v>2025</v>
      </c>
      <c r="F442" s="8">
        <v>288651</v>
      </c>
    </row>
    <row r="443" spans="1:6" x14ac:dyDescent="0.4">
      <c r="A443" s="6">
        <f t="shared" si="18"/>
        <v>442</v>
      </c>
      <c r="B443" s="6" t="str">
        <f t="shared" si="17"/>
        <v>Policy442</v>
      </c>
      <c r="C443" s="7" t="s">
        <v>12</v>
      </c>
      <c r="D443" s="6">
        <v>2022</v>
      </c>
      <c r="E443" s="6">
        <v>2025</v>
      </c>
      <c r="F443" s="8">
        <v>2330895</v>
      </c>
    </row>
    <row r="444" spans="1:6" x14ac:dyDescent="0.4">
      <c r="A444" s="6">
        <f t="shared" si="18"/>
        <v>443</v>
      </c>
      <c r="B444" s="6" t="str">
        <f t="shared" si="17"/>
        <v>Policy443</v>
      </c>
      <c r="C444" s="7" t="s">
        <v>12</v>
      </c>
      <c r="D444" s="6">
        <v>2025</v>
      </c>
      <c r="E444" s="6">
        <v>2026</v>
      </c>
      <c r="F444" s="8">
        <v>4350657</v>
      </c>
    </row>
    <row r="445" spans="1:6" x14ac:dyDescent="0.4">
      <c r="A445" s="6">
        <f t="shared" si="18"/>
        <v>444</v>
      </c>
      <c r="B445" s="6" t="str">
        <f t="shared" si="17"/>
        <v>Policy444</v>
      </c>
      <c r="C445" s="7" t="s">
        <v>11</v>
      </c>
      <c r="D445" s="6">
        <v>2021</v>
      </c>
      <c r="E445" s="6">
        <v>2024</v>
      </c>
      <c r="F445" s="8">
        <v>4664</v>
      </c>
    </row>
    <row r="446" spans="1:6" x14ac:dyDescent="0.4">
      <c r="A446" s="6">
        <f t="shared" si="18"/>
        <v>445</v>
      </c>
      <c r="B446" s="6" t="str">
        <f t="shared" si="17"/>
        <v>Policy445</v>
      </c>
      <c r="C446" s="7" t="s">
        <v>11</v>
      </c>
      <c r="D446" s="6">
        <v>2021</v>
      </c>
      <c r="E446" s="6">
        <v>2026</v>
      </c>
      <c r="F446" s="8">
        <v>49974</v>
      </c>
    </row>
    <row r="447" spans="1:6" x14ac:dyDescent="0.4">
      <c r="A447" s="6">
        <f t="shared" si="18"/>
        <v>446</v>
      </c>
      <c r="B447" s="6" t="str">
        <f t="shared" si="17"/>
        <v>Policy446</v>
      </c>
      <c r="C447" s="7" t="s">
        <v>12</v>
      </c>
      <c r="D447" s="6">
        <v>2021</v>
      </c>
      <c r="E447" s="6">
        <v>2025</v>
      </c>
      <c r="F447" s="8">
        <v>3583599</v>
      </c>
    </row>
    <row r="448" spans="1:6" x14ac:dyDescent="0.4">
      <c r="A448" s="6">
        <f t="shared" si="18"/>
        <v>447</v>
      </c>
      <c r="B448" s="6" t="str">
        <f t="shared" si="17"/>
        <v>Policy447</v>
      </c>
      <c r="C448" s="7" t="s">
        <v>12</v>
      </c>
      <c r="D448" s="6">
        <v>2021</v>
      </c>
      <c r="E448" s="6">
        <v>2022</v>
      </c>
      <c r="F448" s="8">
        <v>381162</v>
      </c>
    </row>
    <row r="449" spans="1:6" x14ac:dyDescent="0.4">
      <c r="A449" s="6">
        <f t="shared" si="18"/>
        <v>448</v>
      </c>
      <c r="B449" s="6" t="str">
        <f t="shared" si="17"/>
        <v>Policy448</v>
      </c>
      <c r="C449" s="7" t="s">
        <v>12</v>
      </c>
      <c r="D449" s="6">
        <v>2021</v>
      </c>
      <c r="E449" s="6">
        <v>2024</v>
      </c>
      <c r="F449" s="8">
        <v>4040310</v>
      </c>
    </row>
    <row r="450" spans="1:6" x14ac:dyDescent="0.4">
      <c r="A450" s="6">
        <f t="shared" si="18"/>
        <v>449</v>
      </c>
      <c r="B450" s="6" t="str">
        <f t="shared" si="17"/>
        <v>Policy449</v>
      </c>
      <c r="C450" s="7" t="s">
        <v>11</v>
      </c>
      <c r="D450" s="6">
        <v>2022</v>
      </c>
      <c r="E450" s="6">
        <v>2025</v>
      </c>
      <c r="F450" s="8">
        <v>48128</v>
      </c>
    </row>
    <row r="451" spans="1:6" x14ac:dyDescent="0.4">
      <c r="A451" s="6">
        <f t="shared" si="18"/>
        <v>450</v>
      </c>
      <c r="B451" s="6" t="str">
        <f t="shared" ref="B451:B514" si="19">"Policy"&amp;A451</f>
        <v>Policy450</v>
      </c>
      <c r="C451" s="7" t="s">
        <v>12</v>
      </c>
      <c r="D451" s="6">
        <v>2024</v>
      </c>
      <c r="E451" s="6">
        <v>2026</v>
      </c>
      <c r="F451" s="8">
        <v>21951</v>
      </c>
    </row>
    <row r="452" spans="1:6" x14ac:dyDescent="0.4">
      <c r="A452" s="6">
        <f t="shared" ref="A452:A515" si="20">A451+1</f>
        <v>451</v>
      </c>
      <c r="B452" s="6" t="str">
        <f t="shared" si="19"/>
        <v>Policy451</v>
      </c>
      <c r="C452" s="7" t="s">
        <v>12</v>
      </c>
      <c r="D452" s="6">
        <v>2022</v>
      </c>
      <c r="E452" s="6">
        <v>2024</v>
      </c>
      <c r="F452" s="8">
        <v>1118418</v>
      </c>
    </row>
    <row r="453" spans="1:6" x14ac:dyDescent="0.4">
      <c r="A453" s="6">
        <f t="shared" si="20"/>
        <v>452</v>
      </c>
      <c r="B453" s="6" t="str">
        <f t="shared" si="19"/>
        <v>Policy452</v>
      </c>
      <c r="C453" s="7" t="s">
        <v>12</v>
      </c>
      <c r="D453" s="6">
        <v>2025</v>
      </c>
      <c r="E453" s="6">
        <v>2026</v>
      </c>
      <c r="F453" s="8">
        <v>3152090</v>
      </c>
    </row>
    <row r="454" spans="1:6" x14ac:dyDescent="0.4">
      <c r="A454" s="6">
        <f t="shared" si="20"/>
        <v>453</v>
      </c>
      <c r="B454" s="6" t="str">
        <f t="shared" si="19"/>
        <v>Policy453</v>
      </c>
      <c r="C454" s="7" t="s">
        <v>12</v>
      </c>
      <c r="D454" s="6">
        <v>2023</v>
      </c>
      <c r="E454" s="6">
        <v>2024</v>
      </c>
      <c r="F454" s="8">
        <v>509250</v>
      </c>
    </row>
    <row r="455" spans="1:6" x14ac:dyDescent="0.4">
      <c r="A455" s="6">
        <f t="shared" si="20"/>
        <v>454</v>
      </c>
      <c r="B455" s="6" t="str">
        <f t="shared" si="19"/>
        <v>Policy454</v>
      </c>
      <c r="C455" s="7" t="s">
        <v>11</v>
      </c>
      <c r="D455" s="6">
        <v>2023</v>
      </c>
      <c r="E455" s="6">
        <v>2024</v>
      </c>
      <c r="F455" s="8">
        <v>30313</v>
      </c>
    </row>
    <row r="456" spans="1:6" x14ac:dyDescent="0.4">
      <c r="A456" s="6">
        <f t="shared" si="20"/>
        <v>455</v>
      </c>
      <c r="B456" s="6" t="str">
        <f t="shared" si="19"/>
        <v>Policy455</v>
      </c>
      <c r="C456" s="7" t="s">
        <v>12</v>
      </c>
      <c r="D456" s="6">
        <v>2024</v>
      </c>
      <c r="E456" s="6">
        <v>2025</v>
      </c>
      <c r="F456" s="8">
        <v>4397018</v>
      </c>
    </row>
    <row r="457" spans="1:6" x14ac:dyDescent="0.4">
      <c r="A457" s="6">
        <f t="shared" si="20"/>
        <v>456</v>
      </c>
      <c r="B457" s="6" t="str">
        <f t="shared" si="19"/>
        <v>Policy456</v>
      </c>
      <c r="C457" s="7" t="s">
        <v>11</v>
      </c>
      <c r="D457" s="6">
        <v>2023</v>
      </c>
      <c r="E457" s="6">
        <v>2024</v>
      </c>
      <c r="F457" s="8">
        <v>15445</v>
      </c>
    </row>
    <row r="458" spans="1:6" x14ac:dyDescent="0.4">
      <c r="A458" s="6">
        <f t="shared" si="20"/>
        <v>457</v>
      </c>
      <c r="B458" s="6" t="str">
        <f t="shared" si="19"/>
        <v>Policy457</v>
      </c>
      <c r="C458" s="7" t="s">
        <v>12</v>
      </c>
      <c r="D458" s="6">
        <v>2022</v>
      </c>
      <c r="E458" s="6">
        <v>2025</v>
      </c>
      <c r="F458" s="8">
        <v>163130</v>
      </c>
    </row>
    <row r="459" spans="1:6" x14ac:dyDescent="0.4">
      <c r="A459" s="6">
        <f t="shared" si="20"/>
        <v>458</v>
      </c>
      <c r="B459" s="6" t="str">
        <f t="shared" si="19"/>
        <v>Policy458</v>
      </c>
      <c r="C459" s="7" t="s">
        <v>12</v>
      </c>
      <c r="D459" s="6">
        <v>2024</v>
      </c>
      <c r="E459" s="6">
        <v>2025</v>
      </c>
      <c r="F459" s="8">
        <v>564241</v>
      </c>
    </row>
    <row r="460" spans="1:6" x14ac:dyDescent="0.4">
      <c r="A460" s="6">
        <f t="shared" si="20"/>
        <v>459</v>
      </c>
      <c r="B460" s="6" t="str">
        <f t="shared" si="19"/>
        <v>Policy459</v>
      </c>
      <c r="C460" s="7" t="s">
        <v>11</v>
      </c>
      <c r="D460" s="6">
        <v>2024</v>
      </c>
      <c r="E460" s="6">
        <v>2026</v>
      </c>
      <c r="F460" s="8">
        <v>30280</v>
      </c>
    </row>
    <row r="461" spans="1:6" x14ac:dyDescent="0.4">
      <c r="A461" s="6">
        <f t="shared" si="20"/>
        <v>460</v>
      </c>
      <c r="B461" s="6" t="str">
        <f t="shared" si="19"/>
        <v>Policy460</v>
      </c>
      <c r="C461" s="7" t="s">
        <v>11</v>
      </c>
      <c r="D461" s="6">
        <v>2021</v>
      </c>
      <c r="E461" s="6">
        <v>2022</v>
      </c>
      <c r="F461" s="8">
        <v>49422</v>
      </c>
    </row>
    <row r="462" spans="1:6" x14ac:dyDescent="0.4">
      <c r="A462" s="6">
        <f t="shared" si="20"/>
        <v>461</v>
      </c>
      <c r="B462" s="6" t="str">
        <f t="shared" si="19"/>
        <v>Policy461</v>
      </c>
      <c r="C462" s="7" t="s">
        <v>11</v>
      </c>
      <c r="D462" s="6">
        <v>2021</v>
      </c>
      <c r="E462" s="6">
        <v>2025</v>
      </c>
      <c r="F462" s="8">
        <v>30496</v>
      </c>
    </row>
    <row r="463" spans="1:6" x14ac:dyDescent="0.4">
      <c r="A463" s="6">
        <f t="shared" si="20"/>
        <v>462</v>
      </c>
      <c r="B463" s="6" t="str">
        <f t="shared" si="19"/>
        <v>Policy462</v>
      </c>
      <c r="C463" s="7" t="s">
        <v>12</v>
      </c>
      <c r="D463" s="6">
        <v>2022</v>
      </c>
      <c r="E463" s="6">
        <v>2026</v>
      </c>
      <c r="F463" s="8">
        <v>3718840</v>
      </c>
    </row>
    <row r="464" spans="1:6" x14ac:dyDescent="0.4">
      <c r="A464" s="6">
        <f t="shared" si="20"/>
        <v>463</v>
      </c>
      <c r="B464" s="6" t="str">
        <f t="shared" si="19"/>
        <v>Policy463</v>
      </c>
      <c r="C464" s="7" t="s">
        <v>11</v>
      </c>
      <c r="D464" s="6">
        <v>2025</v>
      </c>
      <c r="E464" s="6">
        <v>2026</v>
      </c>
      <c r="F464" s="8">
        <v>41431</v>
      </c>
    </row>
    <row r="465" spans="1:6" x14ac:dyDescent="0.4">
      <c r="A465" s="6">
        <f t="shared" si="20"/>
        <v>464</v>
      </c>
      <c r="B465" s="6" t="str">
        <f t="shared" si="19"/>
        <v>Policy464</v>
      </c>
      <c r="C465" s="7" t="s">
        <v>12</v>
      </c>
      <c r="D465" s="6">
        <v>2021</v>
      </c>
      <c r="E465" s="6">
        <v>2023</v>
      </c>
      <c r="F465" s="8">
        <v>1947912</v>
      </c>
    </row>
    <row r="466" spans="1:6" x14ac:dyDescent="0.4">
      <c r="A466" s="6">
        <f t="shared" si="20"/>
        <v>465</v>
      </c>
      <c r="B466" s="6" t="str">
        <f t="shared" si="19"/>
        <v>Policy465</v>
      </c>
      <c r="C466" s="7" t="s">
        <v>11</v>
      </c>
      <c r="D466" s="6">
        <v>2025</v>
      </c>
      <c r="E466" s="6">
        <v>2026</v>
      </c>
      <c r="F466" s="8">
        <v>40840</v>
      </c>
    </row>
    <row r="467" spans="1:6" x14ac:dyDescent="0.4">
      <c r="A467" s="6">
        <f t="shared" si="20"/>
        <v>466</v>
      </c>
      <c r="B467" s="6" t="str">
        <f t="shared" si="19"/>
        <v>Policy466</v>
      </c>
      <c r="C467" s="7" t="s">
        <v>12</v>
      </c>
      <c r="D467" s="6">
        <v>2024</v>
      </c>
      <c r="E467" s="6">
        <v>2026</v>
      </c>
      <c r="F467" s="8">
        <v>4942622</v>
      </c>
    </row>
    <row r="468" spans="1:6" x14ac:dyDescent="0.4">
      <c r="A468" s="6">
        <f t="shared" si="20"/>
        <v>467</v>
      </c>
      <c r="B468" s="6" t="str">
        <f t="shared" si="19"/>
        <v>Policy467</v>
      </c>
      <c r="C468" s="7" t="s">
        <v>11</v>
      </c>
      <c r="D468" s="6">
        <v>2021</v>
      </c>
      <c r="E468" s="6">
        <v>2024</v>
      </c>
      <c r="F468" s="8">
        <v>31245</v>
      </c>
    </row>
    <row r="469" spans="1:6" x14ac:dyDescent="0.4">
      <c r="A469" s="6">
        <f t="shared" si="20"/>
        <v>468</v>
      </c>
      <c r="B469" s="6" t="str">
        <f t="shared" si="19"/>
        <v>Policy468</v>
      </c>
      <c r="C469" s="7" t="s">
        <v>11</v>
      </c>
      <c r="D469" s="6">
        <v>2024</v>
      </c>
      <c r="E469" s="6">
        <v>2025</v>
      </c>
      <c r="F469" s="8">
        <v>16275</v>
      </c>
    </row>
    <row r="470" spans="1:6" x14ac:dyDescent="0.4">
      <c r="A470" s="6">
        <f t="shared" si="20"/>
        <v>469</v>
      </c>
      <c r="B470" s="6" t="str">
        <f t="shared" si="19"/>
        <v>Policy469</v>
      </c>
      <c r="C470" s="7" t="s">
        <v>12</v>
      </c>
      <c r="D470" s="6">
        <v>2023</v>
      </c>
      <c r="E470" s="6">
        <v>2024</v>
      </c>
      <c r="F470" s="8">
        <v>1730119</v>
      </c>
    </row>
    <row r="471" spans="1:6" x14ac:dyDescent="0.4">
      <c r="A471" s="6">
        <f t="shared" si="20"/>
        <v>470</v>
      </c>
      <c r="B471" s="6" t="str">
        <f t="shared" si="19"/>
        <v>Policy470</v>
      </c>
      <c r="C471" s="7" t="s">
        <v>11</v>
      </c>
      <c r="D471" s="6">
        <v>2025</v>
      </c>
      <c r="E471" s="6">
        <v>2026</v>
      </c>
      <c r="F471" s="8">
        <v>14666</v>
      </c>
    </row>
    <row r="472" spans="1:6" x14ac:dyDescent="0.4">
      <c r="A472" s="6">
        <f t="shared" si="20"/>
        <v>471</v>
      </c>
      <c r="B472" s="6" t="str">
        <f t="shared" si="19"/>
        <v>Policy471</v>
      </c>
      <c r="C472" s="7" t="s">
        <v>11</v>
      </c>
      <c r="D472" s="6">
        <v>2024</v>
      </c>
      <c r="E472" s="6">
        <v>2025</v>
      </c>
      <c r="F472" s="8">
        <v>25726</v>
      </c>
    </row>
    <row r="473" spans="1:6" x14ac:dyDescent="0.4">
      <c r="A473" s="6">
        <f t="shared" si="20"/>
        <v>472</v>
      </c>
      <c r="B473" s="6" t="str">
        <f t="shared" si="19"/>
        <v>Policy472</v>
      </c>
      <c r="C473" s="7" t="s">
        <v>11</v>
      </c>
      <c r="D473" s="6">
        <v>2024</v>
      </c>
      <c r="E473" s="6">
        <v>2026</v>
      </c>
      <c r="F473" s="8">
        <v>30878</v>
      </c>
    </row>
    <row r="474" spans="1:6" x14ac:dyDescent="0.4">
      <c r="A474" s="6">
        <f t="shared" si="20"/>
        <v>473</v>
      </c>
      <c r="B474" s="6" t="str">
        <f t="shared" si="19"/>
        <v>Policy473</v>
      </c>
      <c r="C474" s="7" t="s">
        <v>12</v>
      </c>
      <c r="D474" s="6">
        <v>2024</v>
      </c>
      <c r="E474" s="6">
        <v>2025</v>
      </c>
      <c r="F474" s="8">
        <v>1772022</v>
      </c>
    </row>
    <row r="475" spans="1:6" x14ac:dyDescent="0.4">
      <c r="A475" s="6">
        <f t="shared" si="20"/>
        <v>474</v>
      </c>
      <c r="B475" s="6" t="str">
        <f t="shared" si="19"/>
        <v>Policy474</v>
      </c>
      <c r="C475" s="7" t="s">
        <v>12</v>
      </c>
      <c r="D475" s="6">
        <v>2024</v>
      </c>
      <c r="E475" s="6">
        <v>2026</v>
      </c>
      <c r="F475" s="8">
        <v>4019253</v>
      </c>
    </row>
    <row r="476" spans="1:6" x14ac:dyDescent="0.4">
      <c r="A476" s="6">
        <f t="shared" si="20"/>
        <v>475</v>
      </c>
      <c r="B476" s="6" t="str">
        <f t="shared" si="19"/>
        <v>Policy475</v>
      </c>
      <c r="C476" s="7" t="s">
        <v>12</v>
      </c>
      <c r="D476" s="6">
        <v>2025</v>
      </c>
      <c r="E476" s="6">
        <v>2026</v>
      </c>
      <c r="F476" s="8">
        <v>4993758</v>
      </c>
    </row>
    <row r="477" spans="1:6" x14ac:dyDescent="0.4">
      <c r="A477" s="6">
        <f t="shared" si="20"/>
        <v>476</v>
      </c>
      <c r="B477" s="6" t="str">
        <f t="shared" si="19"/>
        <v>Policy476</v>
      </c>
      <c r="C477" s="7" t="s">
        <v>12</v>
      </c>
      <c r="D477" s="6">
        <v>2025</v>
      </c>
      <c r="E477" s="6">
        <v>2026</v>
      </c>
      <c r="F477" s="8">
        <v>4138064</v>
      </c>
    </row>
    <row r="478" spans="1:6" x14ac:dyDescent="0.4">
      <c r="A478" s="6">
        <f t="shared" si="20"/>
        <v>477</v>
      </c>
      <c r="B478" s="6" t="str">
        <f t="shared" si="19"/>
        <v>Policy477</v>
      </c>
      <c r="C478" s="7" t="s">
        <v>12</v>
      </c>
      <c r="D478" s="6">
        <v>2021</v>
      </c>
      <c r="E478" s="6">
        <v>2026</v>
      </c>
      <c r="F478" s="8">
        <v>2876237</v>
      </c>
    </row>
    <row r="479" spans="1:6" x14ac:dyDescent="0.4">
      <c r="A479" s="6">
        <f t="shared" si="20"/>
        <v>478</v>
      </c>
      <c r="B479" s="6" t="str">
        <f t="shared" si="19"/>
        <v>Policy478</v>
      </c>
      <c r="C479" s="7" t="s">
        <v>12</v>
      </c>
      <c r="D479" s="6">
        <v>2024</v>
      </c>
      <c r="E479" s="6">
        <v>2025</v>
      </c>
      <c r="F479" s="8">
        <v>4382726</v>
      </c>
    </row>
    <row r="480" spans="1:6" x14ac:dyDescent="0.4">
      <c r="A480" s="6">
        <f t="shared" si="20"/>
        <v>479</v>
      </c>
      <c r="B480" s="6" t="str">
        <f t="shared" si="19"/>
        <v>Policy479</v>
      </c>
      <c r="C480" s="7" t="s">
        <v>12</v>
      </c>
      <c r="D480" s="6">
        <v>2021</v>
      </c>
      <c r="E480" s="6">
        <v>2022</v>
      </c>
      <c r="F480" s="8">
        <v>3063785</v>
      </c>
    </row>
    <row r="481" spans="1:6" x14ac:dyDescent="0.4">
      <c r="A481" s="6">
        <f t="shared" si="20"/>
        <v>480</v>
      </c>
      <c r="B481" s="6" t="str">
        <f t="shared" si="19"/>
        <v>Policy480</v>
      </c>
      <c r="C481" s="7" t="s">
        <v>12</v>
      </c>
      <c r="D481" s="6">
        <v>2025</v>
      </c>
      <c r="E481" s="6">
        <v>2026</v>
      </c>
      <c r="F481" s="8">
        <v>871157</v>
      </c>
    </row>
    <row r="482" spans="1:6" x14ac:dyDescent="0.4">
      <c r="A482" s="6">
        <f t="shared" si="20"/>
        <v>481</v>
      </c>
      <c r="B482" s="6" t="str">
        <f t="shared" si="19"/>
        <v>Policy481</v>
      </c>
      <c r="C482" s="7" t="s">
        <v>11</v>
      </c>
      <c r="D482" s="6">
        <v>2022</v>
      </c>
      <c r="E482" s="6">
        <v>2025</v>
      </c>
      <c r="F482" s="8">
        <v>47657</v>
      </c>
    </row>
    <row r="483" spans="1:6" x14ac:dyDescent="0.4">
      <c r="A483" s="6">
        <f t="shared" si="20"/>
        <v>482</v>
      </c>
      <c r="B483" s="6" t="str">
        <f t="shared" si="19"/>
        <v>Policy482</v>
      </c>
      <c r="C483" s="7" t="s">
        <v>12</v>
      </c>
      <c r="D483" s="6">
        <v>2023</v>
      </c>
      <c r="E483" s="6">
        <v>2025</v>
      </c>
      <c r="F483" s="8">
        <v>4457174</v>
      </c>
    </row>
    <row r="484" spans="1:6" x14ac:dyDescent="0.4">
      <c r="A484" s="6">
        <f t="shared" si="20"/>
        <v>483</v>
      </c>
      <c r="B484" s="6" t="str">
        <f t="shared" si="19"/>
        <v>Policy483</v>
      </c>
      <c r="C484" s="7" t="s">
        <v>11</v>
      </c>
      <c r="D484" s="6">
        <v>2021</v>
      </c>
      <c r="E484" s="6">
        <v>2026</v>
      </c>
      <c r="F484" s="8">
        <v>18255</v>
      </c>
    </row>
    <row r="485" spans="1:6" x14ac:dyDescent="0.4">
      <c r="A485" s="6">
        <f t="shared" si="20"/>
        <v>484</v>
      </c>
      <c r="B485" s="6" t="str">
        <f t="shared" si="19"/>
        <v>Policy484</v>
      </c>
      <c r="C485" s="7" t="s">
        <v>11</v>
      </c>
      <c r="D485" s="6">
        <v>2021</v>
      </c>
      <c r="E485" s="6">
        <v>2022</v>
      </c>
      <c r="F485" s="8">
        <v>6941</v>
      </c>
    </row>
    <row r="486" spans="1:6" x14ac:dyDescent="0.4">
      <c r="A486" s="6">
        <f t="shared" si="20"/>
        <v>485</v>
      </c>
      <c r="B486" s="6" t="str">
        <f t="shared" si="19"/>
        <v>Policy485</v>
      </c>
      <c r="C486" s="7" t="s">
        <v>12</v>
      </c>
      <c r="D486" s="6">
        <v>2021</v>
      </c>
      <c r="E486" s="6">
        <v>2024</v>
      </c>
      <c r="F486" s="8">
        <v>1812133</v>
      </c>
    </row>
    <row r="487" spans="1:6" x14ac:dyDescent="0.4">
      <c r="A487" s="6">
        <f t="shared" si="20"/>
        <v>486</v>
      </c>
      <c r="B487" s="6" t="str">
        <f t="shared" si="19"/>
        <v>Policy486</v>
      </c>
      <c r="C487" s="7" t="s">
        <v>12</v>
      </c>
      <c r="D487" s="6">
        <v>2025</v>
      </c>
      <c r="E487" s="6">
        <v>2026</v>
      </c>
      <c r="F487" s="8">
        <v>1516164</v>
      </c>
    </row>
    <row r="488" spans="1:6" x14ac:dyDescent="0.4">
      <c r="A488" s="6">
        <f t="shared" si="20"/>
        <v>487</v>
      </c>
      <c r="B488" s="6" t="str">
        <f t="shared" si="19"/>
        <v>Policy487</v>
      </c>
      <c r="C488" s="7" t="s">
        <v>11</v>
      </c>
      <c r="D488" s="6">
        <v>2022</v>
      </c>
      <c r="E488" s="6">
        <v>2026</v>
      </c>
      <c r="F488" s="8">
        <v>37397</v>
      </c>
    </row>
    <row r="489" spans="1:6" x14ac:dyDescent="0.4">
      <c r="A489" s="6">
        <f t="shared" si="20"/>
        <v>488</v>
      </c>
      <c r="B489" s="6" t="str">
        <f t="shared" si="19"/>
        <v>Policy488</v>
      </c>
      <c r="C489" s="7" t="s">
        <v>11</v>
      </c>
      <c r="D489" s="6">
        <v>2022</v>
      </c>
      <c r="E489" s="6">
        <v>2025</v>
      </c>
      <c r="F489" s="8">
        <v>34569</v>
      </c>
    </row>
    <row r="490" spans="1:6" x14ac:dyDescent="0.4">
      <c r="A490" s="6">
        <f t="shared" si="20"/>
        <v>489</v>
      </c>
      <c r="B490" s="6" t="str">
        <f t="shared" si="19"/>
        <v>Policy489</v>
      </c>
      <c r="C490" s="7" t="s">
        <v>11</v>
      </c>
      <c r="D490" s="6">
        <v>2021</v>
      </c>
      <c r="E490" s="6">
        <v>2023</v>
      </c>
      <c r="F490" s="8">
        <v>2331</v>
      </c>
    </row>
    <row r="491" spans="1:6" x14ac:dyDescent="0.4">
      <c r="A491" s="6">
        <f t="shared" si="20"/>
        <v>490</v>
      </c>
      <c r="B491" s="6" t="str">
        <f t="shared" si="19"/>
        <v>Policy490</v>
      </c>
      <c r="C491" s="7" t="s">
        <v>11</v>
      </c>
      <c r="D491" s="6">
        <v>2023</v>
      </c>
      <c r="E491" s="6">
        <v>2024</v>
      </c>
      <c r="F491" s="8">
        <v>7985</v>
      </c>
    </row>
    <row r="492" spans="1:6" x14ac:dyDescent="0.4">
      <c r="A492" s="6">
        <f t="shared" si="20"/>
        <v>491</v>
      </c>
      <c r="B492" s="6" t="str">
        <f t="shared" si="19"/>
        <v>Policy491</v>
      </c>
      <c r="C492" s="7" t="s">
        <v>11</v>
      </c>
      <c r="D492" s="6">
        <v>2021</v>
      </c>
      <c r="E492" s="6">
        <v>2026</v>
      </c>
      <c r="F492" s="8">
        <v>9673</v>
      </c>
    </row>
    <row r="493" spans="1:6" x14ac:dyDescent="0.4">
      <c r="A493" s="6">
        <f t="shared" si="20"/>
        <v>492</v>
      </c>
      <c r="B493" s="6" t="str">
        <f t="shared" si="19"/>
        <v>Policy492</v>
      </c>
      <c r="C493" s="7" t="s">
        <v>12</v>
      </c>
      <c r="D493" s="6">
        <v>2023</v>
      </c>
      <c r="E493" s="6">
        <v>2026</v>
      </c>
      <c r="F493" s="8">
        <v>4888649</v>
      </c>
    </row>
    <row r="494" spans="1:6" x14ac:dyDescent="0.4">
      <c r="A494" s="6">
        <f t="shared" si="20"/>
        <v>493</v>
      </c>
      <c r="B494" s="6" t="str">
        <f t="shared" si="19"/>
        <v>Policy493</v>
      </c>
      <c r="C494" s="7" t="s">
        <v>12</v>
      </c>
      <c r="D494" s="6">
        <v>2021</v>
      </c>
      <c r="E494" s="6">
        <v>2023</v>
      </c>
      <c r="F494" s="8">
        <v>4901871</v>
      </c>
    </row>
    <row r="495" spans="1:6" x14ac:dyDescent="0.4">
      <c r="A495" s="6">
        <f t="shared" si="20"/>
        <v>494</v>
      </c>
      <c r="B495" s="6" t="str">
        <f t="shared" si="19"/>
        <v>Policy494</v>
      </c>
      <c r="C495" s="7" t="s">
        <v>11</v>
      </c>
      <c r="D495" s="6">
        <v>2022</v>
      </c>
      <c r="E495" s="6">
        <v>2026</v>
      </c>
      <c r="F495" s="8">
        <v>33730</v>
      </c>
    </row>
    <row r="496" spans="1:6" x14ac:dyDescent="0.4">
      <c r="A496" s="6">
        <f t="shared" si="20"/>
        <v>495</v>
      </c>
      <c r="B496" s="6" t="str">
        <f t="shared" si="19"/>
        <v>Policy495</v>
      </c>
      <c r="C496" s="7" t="s">
        <v>11</v>
      </c>
      <c r="D496" s="6">
        <v>2025</v>
      </c>
      <c r="E496" s="6">
        <v>2026</v>
      </c>
      <c r="F496" s="8">
        <v>49291</v>
      </c>
    </row>
    <row r="497" spans="1:6" x14ac:dyDescent="0.4">
      <c r="A497" s="6">
        <f t="shared" si="20"/>
        <v>496</v>
      </c>
      <c r="B497" s="6" t="str">
        <f t="shared" si="19"/>
        <v>Policy496</v>
      </c>
      <c r="C497" s="7" t="s">
        <v>12</v>
      </c>
      <c r="D497" s="6">
        <v>2025</v>
      </c>
      <c r="E497" s="6">
        <v>2026</v>
      </c>
      <c r="F497" s="8">
        <v>4569160</v>
      </c>
    </row>
    <row r="498" spans="1:6" x14ac:dyDescent="0.4">
      <c r="A498" s="6">
        <f t="shared" si="20"/>
        <v>497</v>
      </c>
      <c r="B498" s="6" t="str">
        <f t="shared" si="19"/>
        <v>Policy497</v>
      </c>
      <c r="C498" s="7" t="s">
        <v>11</v>
      </c>
      <c r="D498" s="6">
        <v>2024</v>
      </c>
      <c r="E498" s="6">
        <v>2025</v>
      </c>
      <c r="F498" s="8">
        <v>36153</v>
      </c>
    </row>
    <row r="499" spans="1:6" x14ac:dyDescent="0.4">
      <c r="A499" s="6">
        <f t="shared" si="20"/>
        <v>498</v>
      </c>
      <c r="B499" s="6" t="str">
        <f t="shared" si="19"/>
        <v>Policy498</v>
      </c>
      <c r="C499" s="7" t="s">
        <v>11</v>
      </c>
      <c r="D499" s="6">
        <v>2024</v>
      </c>
      <c r="E499" s="6">
        <v>2026</v>
      </c>
      <c r="F499" s="8">
        <v>30239</v>
      </c>
    </row>
    <row r="500" spans="1:6" x14ac:dyDescent="0.4">
      <c r="A500" s="6">
        <f t="shared" si="20"/>
        <v>499</v>
      </c>
      <c r="B500" s="6" t="str">
        <f t="shared" si="19"/>
        <v>Policy499</v>
      </c>
      <c r="C500" s="7" t="s">
        <v>12</v>
      </c>
      <c r="D500" s="6">
        <v>2022</v>
      </c>
      <c r="E500" s="6">
        <v>2024</v>
      </c>
      <c r="F500" s="8">
        <v>1682947</v>
      </c>
    </row>
    <row r="501" spans="1:6" x14ac:dyDescent="0.4">
      <c r="A501" s="6">
        <f t="shared" si="20"/>
        <v>500</v>
      </c>
      <c r="B501" s="6" t="str">
        <f t="shared" si="19"/>
        <v>Policy500</v>
      </c>
      <c r="C501" s="7" t="s">
        <v>12</v>
      </c>
      <c r="D501" s="6">
        <v>2023</v>
      </c>
      <c r="E501" s="6">
        <v>2025</v>
      </c>
      <c r="F501" s="8">
        <v>4377745</v>
      </c>
    </row>
    <row r="502" spans="1:6" x14ac:dyDescent="0.4">
      <c r="A502" s="6">
        <f t="shared" si="20"/>
        <v>501</v>
      </c>
      <c r="B502" s="6" t="str">
        <f t="shared" si="19"/>
        <v>Policy501</v>
      </c>
      <c r="C502" s="7" t="s">
        <v>12</v>
      </c>
      <c r="D502" s="6">
        <v>2023</v>
      </c>
      <c r="E502" s="6">
        <v>2026</v>
      </c>
      <c r="F502" s="8">
        <v>497418</v>
      </c>
    </row>
    <row r="503" spans="1:6" x14ac:dyDescent="0.4">
      <c r="A503" s="6">
        <f t="shared" si="20"/>
        <v>502</v>
      </c>
      <c r="B503" s="6" t="str">
        <f t="shared" si="19"/>
        <v>Policy502</v>
      </c>
      <c r="C503" s="7" t="s">
        <v>12</v>
      </c>
      <c r="D503" s="6">
        <v>2021</v>
      </c>
      <c r="E503" s="6">
        <v>2026</v>
      </c>
      <c r="F503" s="8">
        <v>2672116</v>
      </c>
    </row>
    <row r="504" spans="1:6" x14ac:dyDescent="0.4">
      <c r="A504" s="6">
        <f t="shared" si="20"/>
        <v>503</v>
      </c>
      <c r="B504" s="6" t="str">
        <f t="shared" si="19"/>
        <v>Policy503</v>
      </c>
      <c r="C504" s="7" t="s">
        <v>12</v>
      </c>
      <c r="D504" s="6">
        <v>2024</v>
      </c>
      <c r="E504" s="6">
        <v>2026</v>
      </c>
      <c r="F504" s="8">
        <v>4842920</v>
      </c>
    </row>
    <row r="505" spans="1:6" x14ac:dyDescent="0.4">
      <c r="A505" s="6">
        <f t="shared" si="20"/>
        <v>504</v>
      </c>
      <c r="B505" s="6" t="str">
        <f t="shared" si="19"/>
        <v>Policy504</v>
      </c>
      <c r="C505" s="7" t="s">
        <v>11</v>
      </c>
      <c r="D505" s="6">
        <v>2023</v>
      </c>
      <c r="E505" s="6">
        <v>2026</v>
      </c>
      <c r="F505" s="8">
        <v>12870</v>
      </c>
    </row>
    <row r="506" spans="1:6" x14ac:dyDescent="0.4">
      <c r="A506" s="6">
        <f t="shared" si="20"/>
        <v>505</v>
      </c>
      <c r="B506" s="6" t="str">
        <f t="shared" si="19"/>
        <v>Policy505</v>
      </c>
      <c r="C506" s="7" t="s">
        <v>12</v>
      </c>
      <c r="D506" s="6">
        <v>2021</v>
      </c>
      <c r="E506" s="6">
        <v>2024</v>
      </c>
      <c r="F506" s="8">
        <v>302437</v>
      </c>
    </row>
    <row r="507" spans="1:6" x14ac:dyDescent="0.4">
      <c r="A507" s="6">
        <f t="shared" si="20"/>
        <v>506</v>
      </c>
      <c r="B507" s="6" t="str">
        <f t="shared" si="19"/>
        <v>Policy506</v>
      </c>
      <c r="C507" s="7" t="s">
        <v>12</v>
      </c>
      <c r="D507" s="6">
        <v>2025</v>
      </c>
      <c r="E507" s="6">
        <v>2026</v>
      </c>
      <c r="F507" s="8">
        <v>1846684</v>
      </c>
    </row>
    <row r="508" spans="1:6" x14ac:dyDescent="0.4">
      <c r="A508" s="6">
        <f t="shared" si="20"/>
        <v>507</v>
      </c>
      <c r="B508" s="6" t="str">
        <f t="shared" si="19"/>
        <v>Policy507</v>
      </c>
      <c r="C508" s="7" t="s">
        <v>12</v>
      </c>
      <c r="D508" s="6">
        <v>2025</v>
      </c>
      <c r="E508" s="6">
        <v>2026</v>
      </c>
      <c r="F508" s="8">
        <v>2447473</v>
      </c>
    </row>
    <row r="509" spans="1:6" x14ac:dyDescent="0.4">
      <c r="A509" s="6">
        <f t="shared" si="20"/>
        <v>508</v>
      </c>
      <c r="B509" s="6" t="str">
        <f t="shared" si="19"/>
        <v>Policy508</v>
      </c>
      <c r="C509" s="7" t="s">
        <v>12</v>
      </c>
      <c r="D509" s="6">
        <v>2022</v>
      </c>
      <c r="E509" s="6">
        <v>2024</v>
      </c>
      <c r="F509" s="8">
        <v>93645</v>
      </c>
    </row>
    <row r="510" spans="1:6" x14ac:dyDescent="0.4">
      <c r="A510" s="6">
        <f t="shared" si="20"/>
        <v>509</v>
      </c>
      <c r="B510" s="6" t="str">
        <f t="shared" si="19"/>
        <v>Policy509</v>
      </c>
      <c r="C510" s="7" t="s">
        <v>12</v>
      </c>
      <c r="D510" s="6">
        <v>2025</v>
      </c>
      <c r="E510" s="6">
        <v>2026</v>
      </c>
      <c r="F510" s="8">
        <v>3150934</v>
      </c>
    </row>
    <row r="511" spans="1:6" x14ac:dyDescent="0.4">
      <c r="A511" s="6">
        <f t="shared" si="20"/>
        <v>510</v>
      </c>
      <c r="B511" s="6" t="str">
        <f t="shared" si="19"/>
        <v>Policy510</v>
      </c>
      <c r="C511" s="7" t="s">
        <v>11</v>
      </c>
      <c r="D511" s="6">
        <v>2023</v>
      </c>
      <c r="E511" s="6">
        <v>2026</v>
      </c>
      <c r="F511" s="8">
        <v>31623</v>
      </c>
    </row>
    <row r="512" spans="1:6" x14ac:dyDescent="0.4">
      <c r="A512" s="6">
        <f t="shared" si="20"/>
        <v>511</v>
      </c>
      <c r="B512" s="6" t="str">
        <f t="shared" si="19"/>
        <v>Policy511</v>
      </c>
      <c r="C512" s="7" t="s">
        <v>12</v>
      </c>
      <c r="D512" s="6">
        <v>2022</v>
      </c>
      <c r="E512" s="6">
        <v>2024</v>
      </c>
      <c r="F512" s="8">
        <v>2663233</v>
      </c>
    </row>
    <row r="513" spans="1:6" x14ac:dyDescent="0.4">
      <c r="A513" s="6">
        <f t="shared" si="20"/>
        <v>512</v>
      </c>
      <c r="B513" s="6" t="str">
        <f t="shared" si="19"/>
        <v>Policy512</v>
      </c>
      <c r="C513" s="7" t="s">
        <v>11</v>
      </c>
      <c r="D513" s="6">
        <v>2025</v>
      </c>
      <c r="E513" s="6">
        <v>2026</v>
      </c>
      <c r="F513" s="8">
        <v>32902</v>
      </c>
    </row>
    <row r="514" spans="1:6" x14ac:dyDescent="0.4">
      <c r="A514" s="6">
        <f t="shared" si="20"/>
        <v>513</v>
      </c>
      <c r="B514" s="6" t="str">
        <f t="shared" si="19"/>
        <v>Policy513</v>
      </c>
      <c r="C514" s="7" t="s">
        <v>11</v>
      </c>
      <c r="D514" s="6">
        <v>2021</v>
      </c>
      <c r="E514" s="6">
        <v>2024</v>
      </c>
      <c r="F514" s="8">
        <v>7769</v>
      </c>
    </row>
    <row r="515" spans="1:6" x14ac:dyDescent="0.4">
      <c r="A515" s="6">
        <f t="shared" si="20"/>
        <v>514</v>
      </c>
      <c r="B515" s="6" t="str">
        <f t="shared" ref="B515:B578" si="21">"Policy"&amp;A515</f>
        <v>Policy514</v>
      </c>
      <c r="C515" s="7" t="s">
        <v>12</v>
      </c>
      <c r="D515" s="6">
        <v>2025</v>
      </c>
      <c r="E515" s="6">
        <v>2026</v>
      </c>
      <c r="F515" s="8">
        <v>1637340</v>
      </c>
    </row>
    <row r="516" spans="1:6" x14ac:dyDescent="0.4">
      <c r="A516" s="6">
        <f t="shared" ref="A516:A579" si="22">A515+1</f>
        <v>515</v>
      </c>
      <c r="B516" s="6" t="str">
        <f t="shared" si="21"/>
        <v>Policy515</v>
      </c>
      <c r="C516" s="7" t="s">
        <v>11</v>
      </c>
      <c r="D516" s="6">
        <v>2021</v>
      </c>
      <c r="E516" s="6">
        <v>2025</v>
      </c>
      <c r="F516" s="8">
        <v>2723</v>
      </c>
    </row>
    <row r="517" spans="1:6" x14ac:dyDescent="0.4">
      <c r="A517" s="6">
        <f t="shared" si="22"/>
        <v>516</v>
      </c>
      <c r="B517" s="6" t="str">
        <f t="shared" si="21"/>
        <v>Policy516</v>
      </c>
      <c r="C517" s="7" t="s">
        <v>12</v>
      </c>
      <c r="D517" s="6">
        <v>2021</v>
      </c>
      <c r="E517" s="6">
        <v>2023</v>
      </c>
      <c r="F517" s="8">
        <v>4954913</v>
      </c>
    </row>
    <row r="518" spans="1:6" x14ac:dyDescent="0.4">
      <c r="A518" s="6">
        <f t="shared" si="22"/>
        <v>517</v>
      </c>
      <c r="B518" s="6" t="str">
        <f t="shared" si="21"/>
        <v>Policy517</v>
      </c>
      <c r="C518" s="7" t="s">
        <v>12</v>
      </c>
      <c r="D518" s="6">
        <v>2021</v>
      </c>
      <c r="E518" s="6">
        <v>2025</v>
      </c>
      <c r="F518" s="8">
        <v>2623632</v>
      </c>
    </row>
    <row r="519" spans="1:6" x14ac:dyDescent="0.4">
      <c r="A519" s="6">
        <f t="shared" si="22"/>
        <v>518</v>
      </c>
      <c r="B519" s="6" t="str">
        <f t="shared" si="21"/>
        <v>Policy518</v>
      </c>
      <c r="C519" s="7" t="s">
        <v>12</v>
      </c>
      <c r="D519" s="6">
        <v>2022</v>
      </c>
      <c r="E519" s="6">
        <v>2025</v>
      </c>
      <c r="F519" s="8">
        <v>2511328</v>
      </c>
    </row>
    <row r="520" spans="1:6" x14ac:dyDescent="0.4">
      <c r="A520" s="6">
        <f t="shared" si="22"/>
        <v>519</v>
      </c>
      <c r="B520" s="6" t="str">
        <f t="shared" si="21"/>
        <v>Policy519</v>
      </c>
      <c r="C520" s="7" t="s">
        <v>11</v>
      </c>
      <c r="D520" s="6">
        <v>2023</v>
      </c>
      <c r="E520" s="6">
        <v>2025</v>
      </c>
      <c r="F520" s="8">
        <v>41014</v>
      </c>
    </row>
    <row r="521" spans="1:6" x14ac:dyDescent="0.4">
      <c r="A521" s="6">
        <f t="shared" si="22"/>
        <v>520</v>
      </c>
      <c r="B521" s="6" t="str">
        <f t="shared" si="21"/>
        <v>Policy520</v>
      </c>
      <c r="C521" s="7" t="s">
        <v>12</v>
      </c>
      <c r="D521" s="6">
        <v>2024</v>
      </c>
      <c r="E521" s="6">
        <v>2025</v>
      </c>
      <c r="F521" s="8">
        <v>4155996</v>
      </c>
    </row>
    <row r="522" spans="1:6" x14ac:dyDescent="0.4">
      <c r="A522" s="6">
        <f t="shared" si="22"/>
        <v>521</v>
      </c>
      <c r="B522" s="6" t="str">
        <f t="shared" si="21"/>
        <v>Policy521</v>
      </c>
      <c r="C522" s="7" t="s">
        <v>12</v>
      </c>
      <c r="D522" s="6">
        <v>2023</v>
      </c>
      <c r="E522" s="6">
        <v>2026</v>
      </c>
      <c r="F522" s="8">
        <v>3018363</v>
      </c>
    </row>
    <row r="523" spans="1:6" x14ac:dyDescent="0.4">
      <c r="A523" s="6">
        <f t="shared" si="22"/>
        <v>522</v>
      </c>
      <c r="B523" s="6" t="str">
        <f t="shared" si="21"/>
        <v>Policy522</v>
      </c>
      <c r="C523" s="7" t="s">
        <v>12</v>
      </c>
      <c r="D523" s="6">
        <v>2023</v>
      </c>
      <c r="E523" s="6">
        <v>2025</v>
      </c>
      <c r="F523" s="8">
        <v>773345</v>
      </c>
    </row>
    <row r="524" spans="1:6" x14ac:dyDescent="0.4">
      <c r="A524" s="6">
        <f t="shared" si="22"/>
        <v>523</v>
      </c>
      <c r="B524" s="6" t="str">
        <f t="shared" si="21"/>
        <v>Policy523</v>
      </c>
      <c r="C524" s="7" t="s">
        <v>11</v>
      </c>
      <c r="D524" s="6">
        <v>2022</v>
      </c>
      <c r="E524" s="6">
        <v>2024</v>
      </c>
      <c r="F524" s="8">
        <v>49303</v>
      </c>
    </row>
    <row r="525" spans="1:6" x14ac:dyDescent="0.4">
      <c r="A525" s="6">
        <f t="shared" si="22"/>
        <v>524</v>
      </c>
      <c r="B525" s="6" t="str">
        <f t="shared" si="21"/>
        <v>Policy524</v>
      </c>
      <c r="C525" s="7" t="s">
        <v>11</v>
      </c>
      <c r="D525" s="6">
        <v>2023</v>
      </c>
      <c r="E525" s="6">
        <v>2025</v>
      </c>
      <c r="F525" s="8">
        <v>23670</v>
      </c>
    </row>
    <row r="526" spans="1:6" x14ac:dyDescent="0.4">
      <c r="A526" s="6">
        <f t="shared" si="22"/>
        <v>525</v>
      </c>
      <c r="B526" s="6" t="str">
        <f t="shared" si="21"/>
        <v>Policy525</v>
      </c>
      <c r="C526" s="7" t="s">
        <v>11</v>
      </c>
      <c r="D526" s="6">
        <v>2021</v>
      </c>
      <c r="E526" s="6">
        <v>2026</v>
      </c>
      <c r="F526" s="8">
        <v>11410</v>
      </c>
    </row>
    <row r="527" spans="1:6" x14ac:dyDescent="0.4">
      <c r="A527" s="6">
        <f t="shared" si="22"/>
        <v>526</v>
      </c>
      <c r="B527" s="6" t="str">
        <f t="shared" si="21"/>
        <v>Policy526</v>
      </c>
      <c r="C527" s="7" t="s">
        <v>11</v>
      </c>
      <c r="D527" s="6">
        <v>2022</v>
      </c>
      <c r="E527" s="6">
        <v>2023</v>
      </c>
      <c r="F527" s="8">
        <v>4475</v>
      </c>
    </row>
    <row r="528" spans="1:6" x14ac:dyDescent="0.4">
      <c r="A528" s="6">
        <f t="shared" si="22"/>
        <v>527</v>
      </c>
      <c r="B528" s="6" t="str">
        <f t="shared" si="21"/>
        <v>Policy527</v>
      </c>
      <c r="C528" s="7" t="s">
        <v>12</v>
      </c>
      <c r="D528" s="6">
        <v>2021</v>
      </c>
      <c r="E528" s="6">
        <v>2023</v>
      </c>
      <c r="F528" s="8">
        <v>4333958</v>
      </c>
    </row>
    <row r="529" spans="1:6" x14ac:dyDescent="0.4">
      <c r="A529" s="6">
        <f t="shared" si="22"/>
        <v>528</v>
      </c>
      <c r="B529" s="6" t="str">
        <f t="shared" si="21"/>
        <v>Policy528</v>
      </c>
      <c r="C529" s="7" t="s">
        <v>11</v>
      </c>
      <c r="D529" s="6">
        <v>2024</v>
      </c>
      <c r="E529" s="6">
        <v>2025</v>
      </c>
      <c r="F529" s="8">
        <v>31066</v>
      </c>
    </row>
    <row r="530" spans="1:6" x14ac:dyDescent="0.4">
      <c r="A530" s="6">
        <f t="shared" si="22"/>
        <v>529</v>
      </c>
      <c r="B530" s="6" t="str">
        <f t="shared" si="21"/>
        <v>Policy529</v>
      </c>
      <c r="C530" s="7" t="s">
        <v>11</v>
      </c>
      <c r="D530" s="6">
        <v>2021</v>
      </c>
      <c r="E530" s="6">
        <v>2023</v>
      </c>
      <c r="F530" s="8">
        <v>8316</v>
      </c>
    </row>
    <row r="531" spans="1:6" x14ac:dyDescent="0.4">
      <c r="A531" s="6">
        <f t="shared" si="22"/>
        <v>530</v>
      </c>
      <c r="B531" s="6" t="str">
        <f t="shared" si="21"/>
        <v>Policy530</v>
      </c>
      <c r="C531" s="7" t="s">
        <v>11</v>
      </c>
      <c r="D531" s="6">
        <v>2022</v>
      </c>
      <c r="E531" s="6">
        <v>2026</v>
      </c>
      <c r="F531" s="8">
        <v>20237</v>
      </c>
    </row>
    <row r="532" spans="1:6" x14ac:dyDescent="0.4">
      <c r="A532" s="6">
        <f t="shared" si="22"/>
        <v>531</v>
      </c>
      <c r="B532" s="6" t="str">
        <f t="shared" si="21"/>
        <v>Policy531</v>
      </c>
      <c r="C532" s="7" t="s">
        <v>11</v>
      </c>
      <c r="D532" s="6">
        <v>2025</v>
      </c>
      <c r="E532" s="6">
        <v>2026</v>
      </c>
      <c r="F532" s="8">
        <v>33869</v>
      </c>
    </row>
    <row r="533" spans="1:6" x14ac:dyDescent="0.4">
      <c r="A533" s="6">
        <f t="shared" si="22"/>
        <v>532</v>
      </c>
      <c r="B533" s="6" t="str">
        <f t="shared" si="21"/>
        <v>Policy532</v>
      </c>
      <c r="C533" s="7" t="s">
        <v>11</v>
      </c>
      <c r="D533" s="6">
        <v>2023</v>
      </c>
      <c r="E533" s="6">
        <v>2024</v>
      </c>
      <c r="F533" s="8">
        <v>29587</v>
      </c>
    </row>
    <row r="534" spans="1:6" x14ac:dyDescent="0.4">
      <c r="A534" s="6">
        <f t="shared" si="22"/>
        <v>533</v>
      </c>
      <c r="B534" s="6" t="str">
        <f t="shared" si="21"/>
        <v>Policy533</v>
      </c>
      <c r="C534" s="7" t="s">
        <v>12</v>
      </c>
      <c r="D534" s="6">
        <v>2025</v>
      </c>
      <c r="E534" s="6">
        <v>2026</v>
      </c>
      <c r="F534" s="8">
        <v>4363560</v>
      </c>
    </row>
    <row r="535" spans="1:6" x14ac:dyDescent="0.4">
      <c r="A535" s="6">
        <f t="shared" si="22"/>
        <v>534</v>
      </c>
      <c r="B535" s="6" t="str">
        <f t="shared" si="21"/>
        <v>Policy534</v>
      </c>
      <c r="C535" s="7" t="s">
        <v>11</v>
      </c>
      <c r="D535" s="6">
        <v>2024</v>
      </c>
      <c r="E535" s="6">
        <v>2025</v>
      </c>
      <c r="F535" s="8">
        <v>43276</v>
      </c>
    </row>
    <row r="536" spans="1:6" x14ac:dyDescent="0.4">
      <c r="A536" s="6">
        <f t="shared" si="22"/>
        <v>535</v>
      </c>
      <c r="B536" s="6" t="str">
        <f t="shared" si="21"/>
        <v>Policy535</v>
      </c>
      <c r="C536" s="7" t="s">
        <v>11</v>
      </c>
      <c r="D536" s="6">
        <v>2023</v>
      </c>
      <c r="E536" s="6">
        <v>2024</v>
      </c>
      <c r="F536" s="8">
        <v>39075</v>
      </c>
    </row>
    <row r="537" spans="1:6" x14ac:dyDescent="0.4">
      <c r="A537" s="6">
        <f t="shared" si="22"/>
        <v>536</v>
      </c>
      <c r="B537" s="6" t="str">
        <f t="shared" si="21"/>
        <v>Policy536</v>
      </c>
      <c r="C537" s="7" t="s">
        <v>11</v>
      </c>
      <c r="D537" s="6">
        <v>2021</v>
      </c>
      <c r="E537" s="6">
        <v>2023</v>
      </c>
      <c r="F537" s="8">
        <v>23386</v>
      </c>
    </row>
    <row r="538" spans="1:6" x14ac:dyDescent="0.4">
      <c r="A538" s="6">
        <f t="shared" si="22"/>
        <v>537</v>
      </c>
      <c r="B538" s="6" t="str">
        <f t="shared" si="21"/>
        <v>Policy537</v>
      </c>
      <c r="C538" s="7" t="s">
        <v>11</v>
      </c>
      <c r="D538" s="6">
        <v>2023</v>
      </c>
      <c r="E538" s="6">
        <v>2024</v>
      </c>
      <c r="F538" s="8">
        <v>48418</v>
      </c>
    </row>
    <row r="539" spans="1:6" x14ac:dyDescent="0.4">
      <c r="A539" s="6">
        <f t="shared" si="22"/>
        <v>538</v>
      </c>
      <c r="B539" s="6" t="str">
        <f t="shared" si="21"/>
        <v>Policy538</v>
      </c>
      <c r="C539" s="7" t="s">
        <v>12</v>
      </c>
      <c r="D539" s="6">
        <v>2025</v>
      </c>
      <c r="E539" s="6">
        <v>2026</v>
      </c>
      <c r="F539" s="8">
        <v>3299661</v>
      </c>
    </row>
    <row r="540" spans="1:6" x14ac:dyDescent="0.4">
      <c r="A540" s="6">
        <f t="shared" si="22"/>
        <v>539</v>
      </c>
      <c r="B540" s="6" t="str">
        <f t="shared" si="21"/>
        <v>Policy539</v>
      </c>
      <c r="C540" s="7" t="s">
        <v>12</v>
      </c>
      <c r="D540" s="6">
        <v>2024</v>
      </c>
      <c r="E540" s="6">
        <v>2025</v>
      </c>
      <c r="F540" s="8">
        <v>1886087</v>
      </c>
    </row>
    <row r="541" spans="1:6" x14ac:dyDescent="0.4">
      <c r="A541" s="6">
        <f t="shared" si="22"/>
        <v>540</v>
      </c>
      <c r="B541" s="6" t="str">
        <f t="shared" si="21"/>
        <v>Policy540</v>
      </c>
      <c r="C541" s="7" t="s">
        <v>11</v>
      </c>
      <c r="D541" s="6">
        <v>2022</v>
      </c>
      <c r="E541" s="6">
        <v>2025</v>
      </c>
      <c r="F541" s="8">
        <v>41450</v>
      </c>
    </row>
    <row r="542" spans="1:6" x14ac:dyDescent="0.4">
      <c r="A542" s="6">
        <f t="shared" si="22"/>
        <v>541</v>
      </c>
      <c r="B542" s="6" t="str">
        <f t="shared" si="21"/>
        <v>Policy541</v>
      </c>
      <c r="C542" s="7" t="s">
        <v>11</v>
      </c>
      <c r="D542" s="6">
        <v>2022</v>
      </c>
      <c r="E542" s="6">
        <v>2024</v>
      </c>
      <c r="F542" s="8">
        <v>14570</v>
      </c>
    </row>
    <row r="543" spans="1:6" x14ac:dyDescent="0.4">
      <c r="A543" s="6">
        <f t="shared" si="22"/>
        <v>542</v>
      </c>
      <c r="B543" s="6" t="str">
        <f t="shared" si="21"/>
        <v>Policy542</v>
      </c>
      <c r="C543" s="7" t="s">
        <v>12</v>
      </c>
      <c r="D543" s="6">
        <v>2022</v>
      </c>
      <c r="E543" s="6">
        <v>2025</v>
      </c>
      <c r="F543" s="8">
        <v>2230376</v>
      </c>
    </row>
    <row r="544" spans="1:6" x14ac:dyDescent="0.4">
      <c r="A544" s="6">
        <f t="shared" si="22"/>
        <v>543</v>
      </c>
      <c r="B544" s="6" t="str">
        <f t="shared" si="21"/>
        <v>Policy543</v>
      </c>
      <c r="C544" s="7" t="s">
        <v>12</v>
      </c>
      <c r="D544" s="6">
        <v>2025</v>
      </c>
      <c r="E544" s="6">
        <v>2026</v>
      </c>
      <c r="F544" s="8">
        <v>582366</v>
      </c>
    </row>
    <row r="545" spans="1:6" x14ac:dyDescent="0.4">
      <c r="A545" s="6">
        <f t="shared" si="22"/>
        <v>544</v>
      </c>
      <c r="B545" s="6" t="str">
        <f t="shared" si="21"/>
        <v>Policy544</v>
      </c>
      <c r="C545" s="7" t="s">
        <v>11</v>
      </c>
      <c r="D545" s="6">
        <v>2023</v>
      </c>
      <c r="E545" s="6">
        <v>2026</v>
      </c>
      <c r="F545" s="8">
        <v>35087</v>
      </c>
    </row>
    <row r="546" spans="1:6" x14ac:dyDescent="0.4">
      <c r="A546" s="6">
        <f t="shared" si="22"/>
        <v>545</v>
      </c>
      <c r="B546" s="6" t="str">
        <f t="shared" si="21"/>
        <v>Policy545</v>
      </c>
      <c r="C546" s="7" t="s">
        <v>11</v>
      </c>
      <c r="D546" s="6">
        <v>2023</v>
      </c>
      <c r="E546" s="6">
        <v>2024</v>
      </c>
      <c r="F546" s="8">
        <v>9497</v>
      </c>
    </row>
    <row r="547" spans="1:6" x14ac:dyDescent="0.4">
      <c r="A547" s="6">
        <f t="shared" si="22"/>
        <v>546</v>
      </c>
      <c r="B547" s="6" t="str">
        <f t="shared" si="21"/>
        <v>Policy546</v>
      </c>
      <c r="C547" s="7" t="s">
        <v>11</v>
      </c>
      <c r="D547" s="6">
        <v>2021</v>
      </c>
      <c r="E547" s="6">
        <v>2022</v>
      </c>
      <c r="F547" s="8">
        <v>21525</v>
      </c>
    </row>
    <row r="548" spans="1:6" x14ac:dyDescent="0.4">
      <c r="A548" s="6">
        <f t="shared" si="22"/>
        <v>547</v>
      </c>
      <c r="B548" s="6" t="str">
        <f t="shared" si="21"/>
        <v>Policy547</v>
      </c>
      <c r="C548" s="7" t="s">
        <v>11</v>
      </c>
      <c r="D548" s="6">
        <v>2022</v>
      </c>
      <c r="E548" s="6">
        <v>2024</v>
      </c>
      <c r="F548" s="8">
        <v>37596</v>
      </c>
    </row>
    <row r="549" spans="1:6" x14ac:dyDescent="0.4">
      <c r="A549" s="6">
        <f t="shared" si="22"/>
        <v>548</v>
      </c>
      <c r="B549" s="6" t="str">
        <f t="shared" si="21"/>
        <v>Policy548</v>
      </c>
      <c r="C549" s="7" t="s">
        <v>11</v>
      </c>
      <c r="D549" s="6">
        <v>2021</v>
      </c>
      <c r="E549" s="6">
        <v>2023</v>
      </c>
      <c r="F549" s="8">
        <v>45738</v>
      </c>
    </row>
    <row r="550" spans="1:6" x14ac:dyDescent="0.4">
      <c r="A550" s="6">
        <f t="shared" si="22"/>
        <v>549</v>
      </c>
      <c r="B550" s="6" t="str">
        <f t="shared" si="21"/>
        <v>Policy549</v>
      </c>
      <c r="C550" s="7" t="s">
        <v>12</v>
      </c>
      <c r="D550" s="6">
        <v>2021</v>
      </c>
      <c r="E550" s="6">
        <v>2026</v>
      </c>
      <c r="F550" s="8">
        <v>4916754</v>
      </c>
    </row>
    <row r="551" spans="1:6" x14ac:dyDescent="0.4">
      <c r="A551" s="6">
        <f t="shared" si="22"/>
        <v>550</v>
      </c>
      <c r="B551" s="6" t="str">
        <f t="shared" si="21"/>
        <v>Policy550</v>
      </c>
      <c r="C551" s="7" t="s">
        <v>12</v>
      </c>
      <c r="D551" s="6">
        <v>2023</v>
      </c>
      <c r="E551" s="6">
        <v>2024</v>
      </c>
      <c r="F551" s="8">
        <v>1775549</v>
      </c>
    </row>
    <row r="552" spans="1:6" x14ac:dyDescent="0.4">
      <c r="A552" s="6">
        <f t="shared" si="22"/>
        <v>551</v>
      </c>
      <c r="B552" s="6" t="str">
        <f t="shared" si="21"/>
        <v>Policy551</v>
      </c>
      <c r="C552" s="7" t="s">
        <v>12</v>
      </c>
      <c r="D552" s="6">
        <v>2023</v>
      </c>
      <c r="E552" s="6">
        <v>2026</v>
      </c>
      <c r="F552" s="8">
        <v>3181523</v>
      </c>
    </row>
    <row r="553" spans="1:6" x14ac:dyDescent="0.4">
      <c r="A553" s="6">
        <f t="shared" si="22"/>
        <v>552</v>
      </c>
      <c r="B553" s="6" t="str">
        <f t="shared" si="21"/>
        <v>Policy552</v>
      </c>
      <c r="C553" s="7" t="s">
        <v>12</v>
      </c>
      <c r="D553" s="6">
        <v>2025</v>
      </c>
      <c r="E553" s="6">
        <v>2026</v>
      </c>
      <c r="F553" s="8">
        <v>1770373</v>
      </c>
    </row>
    <row r="554" spans="1:6" x14ac:dyDescent="0.4">
      <c r="A554" s="6">
        <f t="shared" si="22"/>
        <v>553</v>
      </c>
      <c r="B554" s="6" t="str">
        <f t="shared" si="21"/>
        <v>Policy553</v>
      </c>
      <c r="C554" s="7" t="s">
        <v>12</v>
      </c>
      <c r="D554" s="6">
        <v>2021</v>
      </c>
      <c r="E554" s="6">
        <v>2022</v>
      </c>
      <c r="F554" s="8">
        <v>946219</v>
      </c>
    </row>
    <row r="555" spans="1:6" x14ac:dyDescent="0.4">
      <c r="A555" s="6">
        <f t="shared" si="22"/>
        <v>554</v>
      </c>
      <c r="B555" s="6" t="str">
        <f t="shared" si="21"/>
        <v>Policy554</v>
      </c>
      <c r="C555" s="7" t="s">
        <v>11</v>
      </c>
      <c r="D555" s="6">
        <v>2022</v>
      </c>
      <c r="E555" s="6">
        <v>2026</v>
      </c>
      <c r="F555" s="8">
        <v>5105</v>
      </c>
    </row>
    <row r="556" spans="1:6" x14ac:dyDescent="0.4">
      <c r="A556" s="6">
        <f t="shared" si="22"/>
        <v>555</v>
      </c>
      <c r="B556" s="6" t="str">
        <f t="shared" si="21"/>
        <v>Policy555</v>
      </c>
      <c r="C556" s="7" t="s">
        <v>12</v>
      </c>
      <c r="D556" s="6">
        <v>2021</v>
      </c>
      <c r="E556" s="6">
        <v>2022</v>
      </c>
      <c r="F556" s="8">
        <v>4963455</v>
      </c>
    </row>
    <row r="557" spans="1:6" x14ac:dyDescent="0.4">
      <c r="A557" s="6">
        <f t="shared" si="22"/>
        <v>556</v>
      </c>
      <c r="B557" s="6" t="str">
        <f t="shared" si="21"/>
        <v>Policy556</v>
      </c>
      <c r="C557" s="7" t="s">
        <v>12</v>
      </c>
      <c r="D557" s="6">
        <v>2024</v>
      </c>
      <c r="E557" s="6">
        <v>2026</v>
      </c>
      <c r="F557" s="8">
        <v>4255986</v>
      </c>
    </row>
    <row r="558" spans="1:6" x14ac:dyDescent="0.4">
      <c r="A558" s="6">
        <f t="shared" si="22"/>
        <v>557</v>
      </c>
      <c r="B558" s="6" t="str">
        <f t="shared" si="21"/>
        <v>Policy557</v>
      </c>
      <c r="C558" s="7" t="s">
        <v>12</v>
      </c>
      <c r="D558" s="6">
        <v>2022</v>
      </c>
      <c r="E558" s="6">
        <v>2026</v>
      </c>
      <c r="F558" s="8">
        <v>4696749</v>
      </c>
    </row>
    <row r="559" spans="1:6" x14ac:dyDescent="0.4">
      <c r="A559" s="6">
        <f t="shared" si="22"/>
        <v>558</v>
      </c>
      <c r="B559" s="6" t="str">
        <f t="shared" si="21"/>
        <v>Policy558</v>
      </c>
      <c r="C559" s="7" t="s">
        <v>11</v>
      </c>
      <c r="D559" s="6">
        <v>2021</v>
      </c>
      <c r="E559" s="6">
        <v>2026</v>
      </c>
      <c r="F559" s="8">
        <v>24003</v>
      </c>
    </row>
    <row r="560" spans="1:6" x14ac:dyDescent="0.4">
      <c r="A560" s="6">
        <f t="shared" si="22"/>
        <v>559</v>
      </c>
      <c r="B560" s="6" t="str">
        <f t="shared" si="21"/>
        <v>Policy559</v>
      </c>
      <c r="C560" s="7" t="s">
        <v>12</v>
      </c>
      <c r="D560" s="6">
        <v>2024</v>
      </c>
      <c r="E560" s="6">
        <v>2026</v>
      </c>
      <c r="F560" s="8">
        <v>4361185</v>
      </c>
    </row>
    <row r="561" spans="1:6" x14ac:dyDescent="0.4">
      <c r="A561" s="6">
        <f t="shared" si="22"/>
        <v>560</v>
      </c>
      <c r="B561" s="6" t="str">
        <f t="shared" si="21"/>
        <v>Policy560</v>
      </c>
      <c r="C561" s="7" t="s">
        <v>12</v>
      </c>
      <c r="D561" s="6">
        <v>2022</v>
      </c>
      <c r="E561" s="6">
        <v>2025</v>
      </c>
      <c r="F561" s="8">
        <v>1522150</v>
      </c>
    </row>
    <row r="562" spans="1:6" x14ac:dyDescent="0.4">
      <c r="A562" s="6">
        <f t="shared" si="22"/>
        <v>561</v>
      </c>
      <c r="B562" s="6" t="str">
        <f t="shared" si="21"/>
        <v>Policy561</v>
      </c>
      <c r="C562" s="7" t="s">
        <v>12</v>
      </c>
      <c r="D562" s="6">
        <v>2023</v>
      </c>
      <c r="E562" s="6">
        <v>2025</v>
      </c>
      <c r="F562" s="8">
        <v>2386836</v>
      </c>
    </row>
    <row r="563" spans="1:6" x14ac:dyDescent="0.4">
      <c r="A563" s="6">
        <f t="shared" si="22"/>
        <v>562</v>
      </c>
      <c r="B563" s="6" t="str">
        <f t="shared" si="21"/>
        <v>Policy562</v>
      </c>
      <c r="C563" s="7" t="s">
        <v>12</v>
      </c>
      <c r="D563" s="6">
        <v>2021</v>
      </c>
      <c r="E563" s="6">
        <v>2022</v>
      </c>
      <c r="F563" s="8">
        <v>245220</v>
      </c>
    </row>
    <row r="564" spans="1:6" x14ac:dyDescent="0.4">
      <c r="A564" s="6">
        <f t="shared" si="22"/>
        <v>563</v>
      </c>
      <c r="B564" s="6" t="str">
        <f t="shared" si="21"/>
        <v>Policy563</v>
      </c>
      <c r="C564" s="7" t="s">
        <v>12</v>
      </c>
      <c r="D564" s="6">
        <v>2021</v>
      </c>
      <c r="E564" s="6">
        <v>2023</v>
      </c>
      <c r="F564" s="8">
        <v>3791809</v>
      </c>
    </row>
    <row r="565" spans="1:6" x14ac:dyDescent="0.4">
      <c r="A565" s="6">
        <f t="shared" si="22"/>
        <v>564</v>
      </c>
      <c r="B565" s="6" t="str">
        <f t="shared" si="21"/>
        <v>Policy564</v>
      </c>
      <c r="C565" s="7" t="s">
        <v>11</v>
      </c>
      <c r="D565" s="6">
        <v>2024</v>
      </c>
      <c r="E565" s="6">
        <v>2025</v>
      </c>
      <c r="F565" s="8">
        <v>20557</v>
      </c>
    </row>
    <row r="566" spans="1:6" x14ac:dyDescent="0.4">
      <c r="A566" s="6">
        <f t="shared" si="22"/>
        <v>565</v>
      </c>
      <c r="B566" s="6" t="str">
        <f t="shared" si="21"/>
        <v>Policy565</v>
      </c>
      <c r="C566" s="7" t="s">
        <v>12</v>
      </c>
      <c r="D566" s="6">
        <v>2024</v>
      </c>
      <c r="E566" s="6">
        <v>2025</v>
      </c>
      <c r="F566" s="8">
        <v>788733</v>
      </c>
    </row>
    <row r="567" spans="1:6" x14ac:dyDescent="0.4">
      <c r="A567" s="6">
        <f t="shared" si="22"/>
        <v>566</v>
      </c>
      <c r="B567" s="6" t="str">
        <f t="shared" si="21"/>
        <v>Policy566</v>
      </c>
      <c r="C567" s="7" t="s">
        <v>12</v>
      </c>
      <c r="D567" s="6">
        <v>2023</v>
      </c>
      <c r="E567" s="6">
        <v>2026</v>
      </c>
      <c r="F567" s="8">
        <v>1004874</v>
      </c>
    </row>
    <row r="568" spans="1:6" x14ac:dyDescent="0.4">
      <c r="A568" s="6">
        <f t="shared" si="22"/>
        <v>567</v>
      </c>
      <c r="B568" s="6" t="str">
        <f t="shared" si="21"/>
        <v>Policy567</v>
      </c>
      <c r="C568" s="7" t="s">
        <v>11</v>
      </c>
      <c r="D568" s="6">
        <v>2021</v>
      </c>
      <c r="E568" s="6">
        <v>2024</v>
      </c>
      <c r="F568" s="8">
        <v>43393</v>
      </c>
    </row>
    <row r="569" spans="1:6" x14ac:dyDescent="0.4">
      <c r="A569" s="6">
        <f t="shared" si="22"/>
        <v>568</v>
      </c>
      <c r="B569" s="6" t="str">
        <f t="shared" si="21"/>
        <v>Policy568</v>
      </c>
      <c r="C569" s="7" t="s">
        <v>12</v>
      </c>
      <c r="D569" s="6">
        <v>2023</v>
      </c>
      <c r="E569" s="6">
        <v>2025</v>
      </c>
      <c r="F569" s="8">
        <v>2599377</v>
      </c>
    </row>
    <row r="570" spans="1:6" x14ac:dyDescent="0.4">
      <c r="A570" s="6">
        <f t="shared" si="22"/>
        <v>569</v>
      </c>
      <c r="B570" s="6" t="str">
        <f t="shared" si="21"/>
        <v>Policy569</v>
      </c>
      <c r="C570" s="7" t="s">
        <v>11</v>
      </c>
      <c r="D570" s="6">
        <v>2025</v>
      </c>
      <c r="E570" s="6">
        <v>2026</v>
      </c>
      <c r="F570" s="8">
        <v>40993</v>
      </c>
    </row>
    <row r="571" spans="1:6" x14ac:dyDescent="0.4">
      <c r="A571" s="6">
        <f t="shared" si="22"/>
        <v>570</v>
      </c>
      <c r="B571" s="6" t="str">
        <f t="shared" si="21"/>
        <v>Policy570</v>
      </c>
      <c r="C571" s="7" t="s">
        <v>11</v>
      </c>
      <c r="D571" s="6">
        <v>2024</v>
      </c>
      <c r="E571" s="6">
        <v>2025</v>
      </c>
      <c r="F571" s="8">
        <v>24536</v>
      </c>
    </row>
    <row r="572" spans="1:6" x14ac:dyDescent="0.4">
      <c r="A572" s="6">
        <f t="shared" si="22"/>
        <v>571</v>
      </c>
      <c r="B572" s="6" t="str">
        <f t="shared" si="21"/>
        <v>Policy571</v>
      </c>
      <c r="C572" s="7" t="s">
        <v>12</v>
      </c>
      <c r="D572" s="6">
        <v>2021</v>
      </c>
      <c r="E572" s="6">
        <v>2022</v>
      </c>
      <c r="F572" s="8">
        <v>2224912</v>
      </c>
    </row>
    <row r="573" spans="1:6" x14ac:dyDescent="0.4">
      <c r="A573" s="6">
        <f t="shared" si="22"/>
        <v>572</v>
      </c>
      <c r="B573" s="6" t="str">
        <f t="shared" si="21"/>
        <v>Policy572</v>
      </c>
      <c r="C573" s="7" t="s">
        <v>11</v>
      </c>
      <c r="D573" s="6">
        <v>2023</v>
      </c>
      <c r="E573" s="6">
        <v>2024</v>
      </c>
      <c r="F573" s="8">
        <v>35467</v>
      </c>
    </row>
    <row r="574" spans="1:6" x14ac:dyDescent="0.4">
      <c r="A574" s="6">
        <f t="shared" si="22"/>
        <v>573</v>
      </c>
      <c r="B574" s="6" t="str">
        <f t="shared" si="21"/>
        <v>Policy573</v>
      </c>
      <c r="C574" s="7" t="s">
        <v>12</v>
      </c>
      <c r="D574" s="6">
        <v>2024</v>
      </c>
      <c r="E574" s="6">
        <v>2025</v>
      </c>
      <c r="F574" s="8">
        <v>2123556</v>
      </c>
    </row>
    <row r="575" spans="1:6" x14ac:dyDescent="0.4">
      <c r="A575" s="6">
        <f t="shared" si="22"/>
        <v>574</v>
      </c>
      <c r="B575" s="6" t="str">
        <f t="shared" si="21"/>
        <v>Policy574</v>
      </c>
      <c r="C575" s="7" t="s">
        <v>12</v>
      </c>
      <c r="D575" s="6">
        <v>2025</v>
      </c>
      <c r="E575" s="6">
        <v>2026</v>
      </c>
      <c r="F575" s="8">
        <v>4652662</v>
      </c>
    </row>
    <row r="576" spans="1:6" x14ac:dyDescent="0.4">
      <c r="A576" s="6">
        <f t="shared" si="22"/>
        <v>575</v>
      </c>
      <c r="B576" s="6" t="str">
        <f t="shared" si="21"/>
        <v>Policy575</v>
      </c>
      <c r="C576" s="7" t="s">
        <v>12</v>
      </c>
      <c r="D576" s="6">
        <v>2022</v>
      </c>
      <c r="E576" s="6">
        <v>2024</v>
      </c>
      <c r="F576" s="8">
        <v>1343056</v>
      </c>
    </row>
    <row r="577" spans="1:6" x14ac:dyDescent="0.4">
      <c r="A577" s="6">
        <f t="shared" si="22"/>
        <v>576</v>
      </c>
      <c r="B577" s="6" t="str">
        <f t="shared" si="21"/>
        <v>Policy576</v>
      </c>
      <c r="C577" s="7" t="s">
        <v>11</v>
      </c>
      <c r="D577" s="6">
        <v>2021</v>
      </c>
      <c r="E577" s="6">
        <v>2023</v>
      </c>
      <c r="F577" s="8">
        <v>40527</v>
      </c>
    </row>
    <row r="578" spans="1:6" x14ac:dyDescent="0.4">
      <c r="A578" s="6">
        <f t="shared" si="22"/>
        <v>577</v>
      </c>
      <c r="B578" s="6" t="str">
        <f t="shared" si="21"/>
        <v>Policy577</v>
      </c>
      <c r="C578" s="7" t="s">
        <v>12</v>
      </c>
      <c r="D578" s="6">
        <v>2025</v>
      </c>
      <c r="E578" s="6">
        <v>2026</v>
      </c>
      <c r="F578" s="8">
        <v>3535151</v>
      </c>
    </row>
    <row r="579" spans="1:6" x14ac:dyDescent="0.4">
      <c r="A579" s="6">
        <f t="shared" si="22"/>
        <v>578</v>
      </c>
      <c r="B579" s="6" t="str">
        <f t="shared" ref="B579:B642" si="23">"Policy"&amp;A579</f>
        <v>Policy578</v>
      </c>
      <c r="C579" s="7" t="s">
        <v>12</v>
      </c>
      <c r="D579" s="6">
        <v>2023</v>
      </c>
      <c r="E579" s="6">
        <v>2024</v>
      </c>
      <c r="F579" s="8">
        <v>3784056</v>
      </c>
    </row>
    <row r="580" spans="1:6" x14ac:dyDescent="0.4">
      <c r="A580" s="6">
        <f t="shared" ref="A580:A643" si="24">A579+1</f>
        <v>579</v>
      </c>
      <c r="B580" s="6" t="str">
        <f t="shared" si="23"/>
        <v>Policy579</v>
      </c>
      <c r="C580" s="7" t="s">
        <v>11</v>
      </c>
      <c r="D580" s="6">
        <v>2025</v>
      </c>
      <c r="E580" s="6">
        <v>2026</v>
      </c>
      <c r="F580" s="8">
        <v>23119</v>
      </c>
    </row>
    <row r="581" spans="1:6" x14ac:dyDescent="0.4">
      <c r="A581" s="6">
        <f t="shared" si="24"/>
        <v>580</v>
      </c>
      <c r="B581" s="6" t="str">
        <f t="shared" si="23"/>
        <v>Policy580</v>
      </c>
      <c r="C581" s="7" t="s">
        <v>12</v>
      </c>
      <c r="D581" s="6">
        <v>2023</v>
      </c>
      <c r="E581" s="6">
        <v>2024</v>
      </c>
      <c r="F581" s="8">
        <v>948071</v>
      </c>
    </row>
    <row r="582" spans="1:6" x14ac:dyDescent="0.4">
      <c r="A582" s="6">
        <f t="shared" si="24"/>
        <v>581</v>
      </c>
      <c r="B582" s="6" t="str">
        <f t="shared" si="23"/>
        <v>Policy581</v>
      </c>
      <c r="C582" s="7" t="s">
        <v>12</v>
      </c>
      <c r="D582" s="6">
        <v>2022</v>
      </c>
      <c r="E582" s="6">
        <v>2026</v>
      </c>
      <c r="F582" s="8">
        <v>2411549</v>
      </c>
    </row>
    <row r="583" spans="1:6" x14ac:dyDescent="0.4">
      <c r="A583" s="6">
        <f t="shared" si="24"/>
        <v>582</v>
      </c>
      <c r="B583" s="6" t="str">
        <f t="shared" si="23"/>
        <v>Policy582</v>
      </c>
      <c r="C583" s="7" t="s">
        <v>11</v>
      </c>
      <c r="D583" s="6">
        <v>2021</v>
      </c>
      <c r="E583" s="6">
        <v>2023</v>
      </c>
      <c r="F583" s="8">
        <v>34913</v>
      </c>
    </row>
    <row r="584" spans="1:6" x14ac:dyDescent="0.4">
      <c r="A584" s="6">
        <f t="shared" si="24"/>
        <v>583</v>
      </c>
      <c r="B584" s="6" t="str">
        <f t="shared" si="23"/>
        <v>Policy583</v>
      </c>
      <c r="C584" s="7" t="s">
        <v>12</v>
      </c>
      <c r="D584" s="6">
        <v>2024</v>
      </c>
      <c r="E584" s="6">
        <v>2025</v>
      </c>
      <c r="F584" s="8">
        <v>164527</v>
      </c>
    </row>
    <row r="585" spans="1:6" x14ac:dyDescent="0.4">
      <c r="A585" s="6">
        <f t="shared" si="24"/>
        <v>584</v>
      </c>
      <c r="B585" s="6" t="str">
        <f t="shared" si="23"/>
        <v>Policy584</v>
      </c>
      <c r="C585" s="7" t="s">
        <v>11</v>
      </c>
      <c r="D585" s="6">
        <v>2025</v>
      </c>
      <c r="E585" s="6">
        <v>2026</v>
      </c>
      <c r="F585" s="8">
        <v>2721</v>
      </c>
    </row>
    <row r="586" spans="1:6" x14ac:dyDescent="0.4">
      <c r="A586" s="6">
        <f t="shared" si="24"/>
        <v>585</v>
      </c>
      <c r="B586" s="6" t="str">
        <f t="shared" si="23"/>
        <v>Policy585</v>
      </c>
      <c r="C586" s="7" t="s">
        <v>12</v>
      </c>
      <c r="D586" s="6">
        <v>2022</v>
      </c>
      <c r="E586" s="6">
        <v>2025</v>
      </c>
      <c r="F586" s="8">
        <v>2160963</v>
      </c>
    </row>
    <row r="587" spans="1:6" x14ac:dyDescent="0.4">
      <c r="A587" s="6">
        <f t="shared" si="24"/>
        <v>586</v>
      </c>
      <c r="B587" s="6" t="str">
        <f t="shared" si="23"/>
        <v>Policy586</v>
      </c>
      <c r="C587" s="7" t="s">
        <v>11</v>
      </c>
      <c r="D587" s="6">
        <v>2022</v>
      </c>
      <c r="E587" s="6">
        <v>2025</v>
      </c>
      <c r="F587" s="8">
        <v>37411</v>
      </c>
    </row>
    <row r="588" spans="1:6" x14ac:dyDescent="0.4">
      <c r="A588" s="6">
        <f t="shared" si="24"/>
        <v>587</v>
      </c>
      <c r="B588" s="6" t="str">
        <f t="shared" si="23"/>
        <v>Policy587</v>
      </c>
      <c r="C588" s="7" t="s">
        <v>12</v>
      </c>
      <c r="D588" s="6">
        <v>2021</v>
      </c>
      <c r="E588" s="6">
        <v>2024</v>
      </c>
      <c r="F588" s="8">
        <v>1789792</v>
      </c>
    </row>
    <row r="589" spans="1:6" x14ac:dyDescent="0.4">
      <c r="A589" s="6">
        <f t="shared" si="24"/>
        <v>588</v>
      </c>
      <c r="B589" s="6" t="str">
        <f t="shared" si="23"/>
        <v>Policy588</v>
      </c>
      <c r="C589" s="7" t="s">
        <v>12</v>
      </c>
      <c r="D589" s="6">
        <v>2024</v>
      </c>
      <c r="E589" s="6">
        <v>2025</v>
      </c>
      <c r="F589" s="8">
        <v>3402498</v>
      </c>
    </row>
    <row r="590" spans="1:6" x14ac:dyDescent="0.4">
      <c r="A590" s="6">
        <f t="shared" si="24"/>
        <v>589</v>
      </c>
      <c r="B590" s="6" t="str">
        <f t="shared" si="23"/>
        <v>Policy589</v>
      </c>
      <c r="C590" s="7" t="s">
        <v>11</v>
      </c>
      <c r="D590" s="6">
        <v>2024</v>
      </c>
      <c r="E590" s="6">
        <v>2025</v>
      </c>
      <c r="F590" s="8">
        <v>28417</v>
      </c>
    </row>
    <row r="591" spans="1:6" x14ac:dyDescent="0.4">
      <c r="A591" s="6">
        <f t="shared" si="24"/>
        <v>590</v>
      </c>
      <c r="B591" s="6" t="str">
        <f t="shared" si="23"/>
        <v>Policy590</v>
      </c>
      <c r="C591" s="7" t="s">
        <v>12</v>
      </c>
      <c r="D591" s="6">
        <v>2024</v>
      </c>
      <c r="E591" s="6">
        <v>2026</v>
      </c>
      <c r="F591" s="8">
        <v>627776</v>
      </c>
    </row>
    <row r="592" spans="1:6" x14ac:dyDescent="0.4">
      <c r="A592" s="6">
        <f t="shared" si="24"/>
        <v>591</v>
      </c>
      <c r="B592" s="6" t="str">
        <f t="shared" si="23"/>
        <v>Policy591</v>
      </c>
      <c r="C592" s="7" t="s">
        <v>12</v>
      </c>
      <c r="D592" s="6">
        <v>2021</v>
      </c>
      <c r="E592" s="6">
        <v>2026</v>
      </c>
      <c r="F592" s="8">
        <v>3428569</v>
      </c>
    </row>
    <row r="593" spans="1:6" x14ac:dyDescent="0.4">
      <c r="A593" s="6">
        <f t="shared" si="24"/>
        <v>592</v>
      </c>
      <c r="B593" s="6" t="str">
        <f t="shared" si="23"/>
        <v>Policy592</v>
      </c>
      <c r="C593" s="7" t="s">
        <v>12</v>
      </c>
      <c r="D593" s="6">
        <v>2023</v>
      </c>
      <c r="E593" s="6">
        <v>2026</v>
      </c>
      <c r="F593" s="8">
        <v>4549238</v>
      </c>
    </row>
    <row r="594" spans="1:6" x14ac:dyDescent="0.4">
      <c r="A594" s="6">
        <f t="shared" si="24"/>
        <v>593</v>
      </c>
      <c r="B594" s="6" t="str">
        <f t="shared" si="23"/>
        <v>Policy593</v>
      </c>
      <c r="C594" s="7" t="s">
        <v>12</v>
      </c>
      <c r="D594" s="6">
        <v>2023</v>
      </c>
      <c r="E594" s="6">
        <v>2024</v>
      </c>
      <c r="F594" s="8">
        <v>4625558</v>
      </c>
    </row>
    <row r="595" spans="1:6" x14ac:dyDescent="0.4">
      <c r="A595" s="6">
        <f t="shared" si="24"/>
        <v>594</v>
      </c>
      <c r="B595" s="6" t="str">
        <f t="shared" si="23"/>
        <v>Policy594</v>
      </c>
      <c r="C595" s="7" t="s">
        <v>12</v>
      </c>
      <c r="D595" s="6">
        <v>2021</v>
      </c>
      <c r="E595" s="6">
        <v>2025</v>
      </c>
      <c r="F595" s="8">
        <v>741998</v>
      </c>
    </row>
    <row r="596" spans="1:6" x14ac:dyDescent="0.4">
      <c r="A596" s="6">
        <f t="shared" si="24"/>
        <v>595</v>
      </c>
      <c r="B596" s="6" t="str">
        <f t="shared" si="23"/>
        <v>Policy595</v>
      </c>
      <c r="C596" s="7" t="s">
        <v>11</v>
      </c>
      <c r="D596" s="6">
        <v>2024</v>
      </c>
      <c r="E596" s="6">
        <v>2025</v>
      </c>
      <c r="F596" s="8">
        <v>36006</v>
      </c>
    </row>
    <row r="597" spans="1:6" x14ac:dyDescent="0.4">
      <c r="A597" s="6">
        <f t="shared" si="24"/>
        <v>596</v>
      </c>
      <c r="B597" s="6" t="str">
        <f t="shared" si="23"/>
        <v>Policy596</v>
      </c>
      <c r="C597" s="7" t="s">
        <v>11</v>
      </c>
      <c r="D597" s="6">
        <v>2024</v>
      </c>
      <c r="E597" s="6">
        <v>2026</v>
      </c>
      <c r="F597" s="8">
        <v>30107</v>
      </c>
    </row>
    <row r="598" spans="1:6" x14ac:dyDescent="0.4">
      <c r="A598" s="6">
        <f t="shared" si="24"/>
        <v>597</v>
      </c>
      <c r="B598" s="6" t="str">
        <f t="shared" si="23"/>
        <v>Policy597</v>
      </c>
      <c r="C598" s="7" t="s">
        <v>11</v>
      </c>
      <c r="D598" s="6">
        <v>2024</v>
      </c>
      <c r="E598" s="6">
        <v>2026</v>
      </c>
      <c r="F598" s="8">
        <v>6902</v>
      </c>
    </row>
    <row r="599" spans="1:6" x14ac:dyDescent="0.4">
      <c r="A599" s="6">
        <f t="shared" si="24"/>
        <v>598</v>
      </c>
      <c r="B599" s="6" t="str">
        <f t="shared" si="23"/>
        <v>Policy598</v>
      </c>
      <c r="C599" s="7" t="s">
        <v>12</v>
      </c>
      <c r="D599" s="6">
        <v>2022</v>
      </c>
      <c r="E599" s="6">
        <v>2024</v>
      </c>
      <c r="F599" s="8">
        <v>820283</v>
      </c>
    </row>
    <row r="600" spans="1:6" x14ac:dyDescent="0.4">
      <c r="A600" s="6">
        <f t="shared" si="24"/>
        <v>599</v>
      </c>
      <c r="B600" s="6" t="str">
        <f t="shared" si="23"/>
        <v>Policy599</v>
      </c>
      <c r="C600" s="7" t="s">
        <v>11</v>
      </c>
      <c r="D600" s="6">
        <v>2024</v>
      </c>
      <c r="E600" s="6">
        <v>2025</v>
      </c>
      <c r="F600" s="8">
        <v>36668</v>
      </c>
    </row>
    <row r="601" spans="1:6" x14ac:dyDescent="0.4">
      <c r="A601" s="6">
        <f t="shared" si="24"/>
        <v>600</v>
      </c>
      <c r="B601" s="6" t="str">
        <f t="shared" si="23"/>
        <v>Policy600</v>
      </c>
      <c r="C601" s="7" t="s">
        <v>12</v>
      </c>
      <c r="D601" s="6">
        <v>2025</v>
      </c>
      <c r="E601" s="6">
        <v>2026</v>
      </c>
      <c r="F601" s="8">
        <v>1086479</v>
      </c>
    </row>
    <row r="602" spans="1:6" x14ac:dyDescent="0.4">
      <c r="A602" s="6">
        <f t="shared" si="24"/>
        <v>601</v>
      </c>
      <c r="B602" s="6" t="str">
        <f t="shared" si="23"/>
        <v>Policy601</v>
      </c>
      <c r="C602" s="7" t="s">
        <v>12</v>
      </c>
      <c r="D602" s="6">
        <v>2025</v>
      </c>
      <c r="E602" s="6">
        <v>2026</v>
      </c>
      <c r="F602" s="8">
        <v>2361626</v>
      </c>
    </row>
    <row r="603" spans="1:6" x14ac:dyDescent="0.4">
      <c r="A603" s="6">
        <f t="shared" si="24"/>
        <v>602</v>
      </c>
      <c r="B603" s="6" t="str">
        <f t="shared" si="23"/>
        <v>Policy602</v>
      </c>
      <c r="C603" s="7" t="s">
        <v>12</v>
      </c>
      <c r="D603" s="6">
        <v>2022</v>
      </c>
      <c r="E603" s="6">
        <v>2023</v>
      </c>
      <c r="F603" s="8">
        <v>4796116</v>
      </c>
    </row>
    <row r="604" spans="1:6" x14ac:dyDescent="0.4">
      <c r="A604" s="6">
        <f t="shared" si="24"/>
        <v>603</v>
      </c>
      <c r="B604" s="6" t="str">
        <f t="shared" si="23"/>
        <v>Policy603</v>
      </c>
      <c r="C604" s="7" t="s">
        <v>11</v>
      </c>
      <c r="D604" s="6">
        <v>2021</v>
      </c>
      <c r="E604" s="6">
        <v>2026</v>
      </c>
      <c r="F604" s="8">
        <v>6467</v>
      </c>
    </row>
    <row r="605" spans="1:6" x14ac:dyDescent="0.4">
      <c r="A605" s="6">
        <f t="shared" si="24"/>
        <v>604</v>
      </c>
      <c r="B605" s="6" t="str">
        <f t="shared" si="23"/>
        <v>Policy604</v>
      </c>
      <c r="C605" s="7" t="s">
        <v>11</v>
      </c>
      <c r="D605" s="6">
        <v>2024</v>
      </c>
      <c r="E605" s="6">
        <v>2026</v>
      </c>
      <c r="F605" s="8">
        <v>20316</v>
      </c>
    </row>
    <row r="606" spans="1:6" x14ac:dyDescent="0.4">
      <c r="A606" s="6">
        <f t="shared" si="24"/>
        <v>605</v>
      </c>
      <c r="B606" s="6" t="str">
        <f t="shared" si="23"/>
        <v>Policy605</v>
      </c>
      <c r="C606" s="7" t="s">
        <v>11</v>
      </c>
      <c r="D606" s="6">
        <v>2023</v>
      </c>
      <c r="E606" s="6">
        <v>2025</v>
      </c>
      <c r="F606" s="8">
        <v>35549</v>
      </c>
    </row>
    <row r="607" spans="1:6" x14ac:dyDescent="0.4">
      <c r="A607" s="6">
        <f t="shared" si="24"/>
        <v>606</v>
      </c>
      <c r="B607" s="6" t="str">
        <f t="shared" si="23"/>
        <v>Policy606</v>
      </c>
      <c r="C607" s="7" t="s">
        <v>12</v>
      </c>
      <c r="D607" s="6">
        <v>2025</v>
      </c>
      <c r="E607" s="6">
        <v>2026</v>
      </c>
      <c r="F607" s="8">
        <v>2352432</v>
      </c>
    </row>
    <row r="608" spans="1:6" x14ac:dyDescent="0.4">
      <c r="A608" s="6">
        <f t="shared" si="24"/>
        <v>607</v>
      </c>
      <c r="B608" s="6" t="str">
        <f t="shared" si="23"/>
        <v>Policy607</v>
      </c>
      <c r="C608" s="7" t="s">
        <v>12</v>
      </c>
      <c r="D608" s="6">
        <v>2024</v>
      </c>
      <c r="E608" s="6">
        <v>2026</v>
      </c>
      <c r="F608" s="8">
        <v>4274865</v>
      </c>
    </row>
    <row r="609" spans="1:6" x14ac:dyDescent="0.4">
      <c r="A609" s="6">
        <f t="shared" si="24"/>
        <v>608</v>
      </c>
      <c r="B609" s="6" t="str">
        <f t="shared" si="23"/>
        <v>Policy608</v>
      </c>
      <c r="C609" s="7" t="s">
        <v>11</v>
      </c>
      <c r="D609" s="6">
        <v>2022</v>
      </c>
      <c r="E609" s="6">
        <v>2024</v>
      </c>
      <c r="F609" s="8">
        <v>28034</v>
      </c>
    </row>
    <row r="610" spans="1:6" x14ac:dyDescent="0.4">
      <c r="A610" s="6">
        <f t="shared" si="24"/>
        <v>609</v>
      </c>
      <c r="B610" s="6" t="str">
        <f t="shared" si="23"/>
        <v>Policy609</v>
      </c>
      <c r="C610" s="7" t="s">
        <v>11</v>
      </c>
      <c r="D610" s="6">
        <v>2024</v>
      </c>
      <c r="E610" s="6">
        <v>2026</v>
      </c>
      <c r="F610" s="8">
        <v>7092</v>
      </c>
    </row>
    <row r="611" spans="1:6" x14ac:dyDescent="0.4">
      <c r="A611" s="6">
        <f t="shared" si="24"/>
        <v>610</v>
      </c>
      <c r="B611" s="6" t="str">
        <f t="shared" si="23"/>
        <v>Policy610</v>
      </c>
      <c r="C611" s="7" t="s">
        <v>11</v>
      </c>
      <c r="D611" s="6">
        <v>2022</v>
      </c>
      <c r="E611" s="6">
        <v>2026</v>
      </c>
      <c r="F611" s="8">
        <v>20963</v>
      </c>
    </row>
    <row r="612" spans="1:6" x14ac:dyDescent="0.4">
      <c r="A612" s="6">
        <f t="shared" si="24"/>
        <v>611</v>
      </c>
      <c r="B612" s="6" t="str">
        <f t="shared" si="23"/>
        <v>Policy611</v>
      </c>
      <c r="C612" s="7" t="s">
        <v>11</v>
      </c>
      <c r="D612" s="6">
        <v>2024</v>
      </c>
      <c r="E612" s="6">
        <v>2025</v>
      </c>
      <c r="F612" s="8">
        <v>25562</v>
      </c>
    </row>
    <row r="613" spans="1:6" x14ac:dyDescent="0.4">
      <c r="A613" s="6">
        <f t="shared" si="24"/>
        <v>612</v>
      </c>
      <c r="B613" s="6" t="str">
        <f t="shared" si="23"/>
        <v>Policy612</v>
      </c>
      <c r="C613" s="7" t="s">
        <v>12</v>
      </c>
      <c r="D613" s="6">
        <v>2022</v>
      </c>
      <c r="E613" s="6">
        <v>2024</v>
      </c>
      <c r="F613" s="8">
        <v>2136650</v>
      </c>
    </row>
    <row r="614" spans="1:6" x14ac:dyDescent="0.4">
      <c r="A614" s="6">
        <f t="shared" si="24"/>
        <v>613</v>
      </c>
      <c r="B614" s="6" t="str">
        <f t="shared" si="23"/>
        <v>Policy613</v>
      </c>
      <c r="C614" s="7" t="s">
        <v>11</v>
      </c>
      <c r="D614" s="6">
        <v>2023</v>
      </c>
      <c r="E614" s="6">
        <v>2024</v>
      </c>
      <c r="F614" s="8">
        <v>49184</v>
      </c>
    </row>
    <row r="615" spans="1:6" x14ac:dyDescent="0.4">
      <c r="A615" s="6">
        <f t="shared" si="24"/>
        <v>614</v>
      </c>
      <c r="B615" s="6" t="str">
        <f t="shared" si="23"/>
        <v>Policy614</v>
      </c>
      <c r="C615" s="7" t="s">
        <v>11</v>
      </c>
      <c r="D615" s="6">
        <v>2024</v>
      </c>
      <c r="E615" s="6">
        <v>2026</v>
      </c>
      <c r="F615" s="8">
        <v>31034</v>
      </c>
    </row>
    <row r="616" spans="1:6" x14ac:dyDescent="0.4">
      <c r="A616" s="6">
        <f t="shared" si="24"/>
        <v>615</v>
      </c>
      <c r="B616" s="6" t="str">
        <f t="shared" si="23"/>
        <v>Policy615</v>
      </c>
      <c r="C616" s="7" t="s">
        <v>11</v>
      </c>
      <c r="D616" s="6">
        <v>2025</v>
      </c>
      <c r="E616" s="6">
        <v>2026</v>
      </c>
      <c r="F616" s="8">
        <v>24100</v>
      </c>
    </row>
    <row r="617" spans="1:6" x14ac:dyDescent="0.4">
      <c r="A617" s="6">
        <f t="shared" si="24"/>
        <v>616</v>
      </c>
      <c r="B617" s="6" t="str">
        <f t="shared" si="23"/>
        <v>Policy616</v>
      </c>
      <c r="C617" s="7" t="s">
        <v>11</v>
      </c>
      <c r="D617" s="6">
        <v>2022</v>
      </c>
      <c r="E617" s="6">
        <v>2023</v>
      </c>
      <c r="F617" s="8">
        <v>39315</v>
      </c>
    </row>
    <row r="618" spans="1:6" x14ac:dyDescent="0.4">
      <c r="A618" s="6">
        <f t="shared" si="24"/>
        <v>617</v>
      </c>
      <c r="B618" s="6" t="str">
        <f t="shared" si="23"/>
        <v>Policy617</v>
      </c>
      <c r="C618" s="7" t="s">
        <v>11</v>
      </c>
      <c r="D618" s="6">
        <v>2022</v>
      </c>
      <c r="E618" s="6">
        <v>2025</v>
      </c>
      <c r="F618" s="8">
        <v>47321</v>
      </c>
    </row>
    <row r="619" spans="1:6" x14ac:dyDescent="0.4">
      <c r="A619" s="6">
        <f t="shared" si="24"/>
        <v>618</v>
      </c>
      <c r="B619" s="6" t="str">
        <f t="shared" si="23"/>
        <v>Policy618</v>
      </c>
      <c r="C619" s="7" t="s">
        <v>11</v>
      </c>
      <c r="D619" s="6">
        <v>2024</v>
      </c>
      <c r="E619" s="6">
        <v>2025</v>
      </c>
      <c r="F619" s="8">
        <v>24251</v>
      </c>
    </row>
    <row r="620" spans="1:6" x14ac:dyDescent="0.4">
      <c r="A620" s="6">
        <f t="shared" si="24"/>
        <v>619</v>
      </c>
      <c r="B620" s="6" t="str">
        <f t="shared" si="23"/>
        <v>Policy619</v>
      </c>
      <c r="C620" s="7" t="s">
        <v>12</v>
      </c>
      <c r="D620" s="6">
        <v>2023</v>
      </c>
      <c r="E620" s="6">
        <v>2025</v>
      </c>
      <c r="F620" s="8">
        <v>3591691</v>
      </c>
    </row>
    <row r="621" spans="1:6" x14ac:dyDescent="0.4">
      <c r="A621" s="6">
        <f t="shared" si="24"/>
        <v>620</v>
      </c>
      <c r="B621" s="6" t="str">
        <f t="shared" si="23"/>
        <v>Policy620</v>
      </c>
      <c r="C621" s="7" t="s">
        <v>12</v>
      </c>
      <c r="D621" s="6">
        <v>2021</v>
      </c>
      <c r="E621" s="6">
        <v>2025</v>
      </c>
      <c r="F621" s="8">
        <v>1434960</v>
      </c>
    </row>
    <row r="622" spans="1:6" x14ac:dyDescent="0.4">
      <c r="A622" s="6">
        <f t="shared" si="24"/>
        <v>621</v>
      </c>
      <c r="B622" s="6" t="str">
        <f t="shared" si="23"/>
        <v>Policy621</v>
      </c>
      <c r="C622" s="7" t="s">
        <v>12</v>
      </c>
      <c r="D622" s="6">
        <v>2022</v>
      </c>
      <c r="E622" s="6">
        <v>2025</v>
      </c>
      <c r="F622" s="8">
        <v>2722196</v>
      </c>
    </row>
    <row r="623" spans="1:6" x14ac:dyDescent="0.4">
      <c r="A623" s="6">
        <f t="shared" si="24"/>
        <v>622</v>
      </c>
      <c r="B623" s="6" t="str">
        <f t="shared" si="23"/>
        <v>Policy622</v>
      </c>
      <c r="C623" s="7" t="s">
        <v>12</v>
      </c>
      <c r="D623" s="6">
        <v>2022</v>
      </c>
      <c r="E623" s="6">
        <v>2024</v>
      </c>
      <c r="F623" s="8">
        <v>1736103</v>
      </c>
    </row>
    <row r="624" spans="1:6" x14ac:dyDescent="0.4">
      <c r="A624" s="6">
        <f t="shared" si="24"/>
        <v>623</v>
      </c>
      <c r="B624" s="6" t="str">
        <f t="shared" si="23"/>
        <v>Policy623</v>
      </c>
      <c r="C624" s="7" t="s">
        <v>11</v>
      </c>
      <c r="D624" s="6">
        <v>2024</v>
      </c>
      <c r="E624" s="6">
        <v>2025</v>
      </c>
      <c r="F624" s="8">
        <v>46533</v>
      </c>
    </row>
    <row r="625" spans="1:6" x14ac:dyDescent="0.4">
      <c r="A625" s="6">
        <f t="shared" si="24"/>
        <v>624</v>
      </c>
      <c r="B625" s="6" t="str">
        <f t="shared" si="23"/>
        <v>Policy624</v>
      </c>
      <c r="C625" s="7" t="s">
        <v>12</v>
      </c>
      <c r="D625" s="6">
        <v>2021</v>
      </c>
      <c r="E625" s="6">
        <v>2023</v>
      </c>
      <c r="F625" s="8">
        <v>4125791</v>
      </c>
    </row>
    <row r="626" spans="1:6" x14ac:dyDescent="0.4">
      <c r="A626" s="6">
        <f t="shared" si="24"/>
        <v>625</v>
      </c>
      <c r="B626" s="6" t="str">
        <f t="shared" si="23"/>
        <v>Policy625</v>
      </c>
      <c r="C626" s="7" t="s">
        <v>12</v>
      </c>
      <c r="D626" s="6">
        <v>2021</v>
      </c>
      <c r="E626" s="6">
        <v>2026</v>
      </c>
      <c r="F626" s="8">
        <v>160937</v>
      </c>
    </row>
    <row r="627" spans="1:6" x14ac:dyDescent="0.4">
      <c r="A627" s="6">
        <f t="shared" si="24"/>
        <v>626</v>
      </c>
      <c r="B627" s="6" t="str">
        <f t="shared" si="23"/>
        <v>Policy626</v>
      </c>
      <c r="C627" s="7" t="s">
        <v>11</v>
      </c>
      <c r="D627" s="6">
        <v>2021</v>
      </c>
      <c r="E627" s="6">
        <v>2024</v>
      </c>
      <c r="F627" s="8">
        <v>1289</v>
      </c>
    </row>
    <row r="628" spans="1:6" x14ac:dyDescent="0.4">
      <c r="A628" s="6">
        <f t="shared" si="24"/>
        <v>627</v>
      </c>
      <c r="B628" s="6" t="str">
        <f t="shared" si="23"/>
        <v>Policy627</v>
      </c>
      <c r="C628" s="7" t="s">
        <v>12</v>
      </c>
      <c r="D628" s="6">
        <v>2022</v>
      </c>
      <c r="E628" s="6">
        <v>2023</v>
      </c>
      <c r="F628" s="8">
        <v>4623739</v>
      </c>
    </row>
    <row r="629" spans="1:6" x14ac:dyDescent="0.4">
      <c r="A629" s="6">
        <f t="shared" si="24"/>
        <v>628</v>
      </c>
      <c r="B629" s="6" t="str">
        <f t="shared" si="23"/>
        <v>Policy628</v>
      </c>
      <c r="C629" s="7" t="s">
        <v>11</v>
      </c>
      <c r="D629" s="6">
        <v>2023</v>
      </c>
      <c r="E629" s="6">
        <v>2026</v>
      </c>
      <c r="F629" s="8">
        <v>21463</v>
      </c>
    </row>
    <row r="630" spans="1:6" x14ac:dyDescent="0.4">
      <c r="A630" s="6">
        <f t="shared" si="24"/>
        <v>629</v>
      </c>
      <c r="B630" s="6" t="str">
        <f t="shared" si="23"/>
        <v>Policy629</v>
      </c>
      <c r="C630" s="7" t="s">
        <v>11</v>
      </c>
      <c r="D630" s="6">
        <v>2022</v>
      </c>
      <c r="E630" s="6">
        <v>2024</v>
      </c>
      <c r="F630" s="8">
        <v>5689</v>
      </c>
    </row>
    <row r="631" spans="1:6" x14ac:dyDescent="0.4">
      <c r="A631" s="6">
        <f t="shared" si="24"/>
        <v>630</v>
      </c>
      <c r="B631" s="6" t="str">
        <f t="shared" si="23"/>
        <v>Policy630</v>
      </c>
      <c r="C631" s="7" t="s">
        <v>12</v>
      </c>
      <c r="D631" s="6">
        <v>2023</v>
      </c>
      <c r="E631" s="6">
        <v>2024</v>
      </c>
      <c r="F631" s="8">
        <v>2208621</v>
      </c>
    </row>
    <row r="632" spans="1:6" x14ac:dyDescent="0.4">
      <c r="A632" s="6">
        <f t="shared" si="24"/>
        <v>631</v>
      </c>
      <c r="B632" s="6" t="str">
        <f t="shared" si="23"/>
        <v>Policy631</v>
      </c>
      <c r="C632" s="7" t="s">
        <v>12</v>
      </c>
      <c r="D632" s="6">
        <v>2021</v>
      </c>
      <c r="E632" s="6">
        <v>2023</v>
      </c>
      <c r="F632" s="8">
        <v>4869292</v>
      </c>
    </row>
    <row r="633" spans="1:6" x14ac:dyDescent="0.4">
      <c r="A633" s="6">
        <f t="shared" si="24"/>
        <v>632</v>
      </c>
      <c r="B633" s="6" t="str">
        <f t="shared" si="23"/>
        <v>Policy632</v>
      </c>
      <c r="C633" s="7" t="s">
        <v>12</v>
      </c>
      <c r="D633" s="6">
        <v>2021</v>
      </c>
      <c r="E633" s="6">
        <v>2022</v>
      </c>
      <c r="F633" s="8">
        <v>4882014</v>
      </c>
    </row>
    <row r="634" spans="1:6" x14ac:dyDescent="0.4">
      <c r="A634" s="6">
        <f t="shared" si="24"/>
        <v>633</v>
      </c>
      <c r="B634" s="6" t="str">
        <f t="shared" si="23"/>
        <v>Policy633</v>
      </c>
      <c r="C634" s="7" t="s">
        <v>12</v>
      </c>
      <c r="D634" s="6">
        <v>2025</v>
      </c>
      <c r="E634" s="6">
        <v>2026</v>
      </c>
      <c r="F634" s="8">
        <v>4753573</v>
      </c>
    </row>
    <row r="635" spans="1:6" x14ac:dyDescent="0.4">
      <c r="A635" s="6">
        <f t="shared" si="24"/>
        <v>634</v>
      </c>
      <c r="B635" s="6" t="str">
        <f t="shared" si="23"/>
        <v>Policy634</v>
      </c>
      <c r="C635" s="7" t="s">
        <v>11</v>
      </c>
      <c r="D635" s="6">
        <v>2021</v>
      </c>
      <c r="E635" s="6">
        <v>2022</v>
      </c>
      <c r="F635" s="8">
        <v>439</v>
      </c>
    </row>
    <row r="636" spans="1:6" x14ac:dyDescent="0.4">
      <c r="A636" s="6">
        <f t="shared" si="24"/>
        <v>635</v>
      </c>
      <c r="B636" s="6" t="str">
        <f t="shared" si="23"/>
        <v>Policy635</v>
      </c>
      <c r="C636" s="7" t="s">
        <v>11</v>
      </c>
      <c r="D636" s="6">
        <v>2022</v>
      </c>
      <c r="E636" s="6">
        <v>2025</v>
      </c>
      <c r="F636" s="8">
        <v>22433</v>
      </c>
    </row>
    <row r="637" spans="1:6" x14ac:dyDescent="0.4">
      <c r="A637" s="6">
        <f t="shared" si="24"/>
        <v>636</v>
      </c>
      <c r="B637" s="6" t="str">
        <f t="shared" si="23"/>
        <v>Policy636</v>
      </c>
      <c r="C637" s="7" t="s">
        <v>11</v>
      </c>
      <c r="D637" s="6">
        <v>2022</v>
      </c>
      <c r="E637" s="6">
        <v>2025</v>
      </c>
      <c r="F637" s="8">
        <v>1720</v>
      </c>
    </row>
    <row r="638" spans="1:6" x14ac:dyDescent="0.4">
      <c r="A638" s="6">
        <f t="shared" si="24"/>
        <v>637</v>
      </c>
      <c r="B638" s="6" t="str">
        <f t="shared" si="23"/>
        <v>Policy637</v>
      </c>
      <c r="C638" s="7" t="s">
        <v>12</v>
      </c>
      <c r="D638" s="6">
        <v>2023</v>
      </c>
      <c r="E638" s="6">
        <v>2026</v>
      </c>
      <c r="F638" s="8">
        <v>4220220</v>
      </c>
    </row>
    <row r="639" spans="1:6" x14ac:dyDescent="0.4">
      <c r="A639" s="6">
        <f t="shared" si="24"/>
        <v>638</v>
      </c>
      <c r="B639" s="6" t="str">
        <f t="shared" si="23"/>
        <v>Policy638</v>
      </c>
      <c r="C639" s="7" t="s">
        <v>11</v>
      </c>
      <c r="D639" s="6">
        <v>2025</v>
      </c>
      <c r="E639" s="6">
        <v>2026</v>
      </c>
      <c r="F639" s="8">
        <v>16310</v>
      </c>
    </row>
    <row r="640" spans="1:6" x14ac:dyDescent="0.4">
      <c r="A640" s="6">
        <f t="shared" si="24"/>
        <v>639</v>
      </c>
      <c r="B640" s="6" t="str">
        <f t="shared" si="23"/>
        <v>Policy639</v>
      </c>
      <c r="C640" s="7" t="s">
        <v>12</v>
      </c>
      <c r="D640" s="6">
        <v>2021</v>
      </c>
      <c r="E640" s="6">
        <v>2023</v>
      </c>
      <c r="F640" s="8">
        <v>4244500</v>
      </c>
    </row>
    <row r="641" spans="1:6" x14ac:dyDescent="0.4">
      <c r="A641" s="6">
        <f t="shared" si="24"/>
        <v>640</v>
      </c>
      <c r="B641" s="6" t="str">
        <f t="shared" si="23"/>
        <v>Policy640</v>
      </c>
      <c r="C641" s="7" t="s">
        <v>12</v>
      </c>
      <c r="D641" s="6">
        <v>2021</v>
      </c>
      <c r="E641" s="6">
        <v>2023</v>
      </c>
      <c r="F641" s="8">
        <v>3614428</v>
      </c>
    </row>
    <row r="642" spans="1:6" x14ac:dyDescent="0.4">
      <c r="A642" s="6">
        <f t="shared" si="24"/>
        <v>641</v>
      </c>
      <c r="B642" s="6" t="str">
        <f t="shared" si="23"/>
        <v>Policy641</v>
      </c>
      <c r="C642" s="7" t="s">
        <v>11</v>
      </c>
      <c r="D642" s="6">
        <v>2024</v>
      </c>
      <c r="E642" s="6">
        <v>2026</v>
      </c>
      <c r="F642" s="8">
        <v>35873</v>
      </c>
    </row>
    <row r="643" spans="1:6" x14ac:dyDescent="0.4">
      <c r="A643" s="6">
        <f t="shared" si="24"/>
        <v>642</v>
      </c>
      <c r="B643" s="6" t="str">
        <f t="shared" ref="B643:B706" si="25">"Policy"&amp;A643</f>
        <v>Policy642</v>
      </c>
      <c r="C643" s="7" t="s">
        <v>12</v>
      </c>
      <c r="D643" s="6">
        <v>2025</v>
      </c>
      <c r="E643" s="6">
        <v>2026</v>
      </c>
      <c r="F643" s="8">
        <v>1625698</v>
      </c>
    </row>
    <row r="644" spans="1:6" x14ac:dyDescent="0.4">
      <c r="A644" s="6">
        <f t="shared" ref="A644:A707" si="26">A643+1</f>
        <v>643</v>
      </c>
      <c r="B644" s="6" t="str">
        <f t="shared" si="25"/>
        <v>Policy643</v>
      </c>
      <c r="C644" s="7" t="s">
        <v>11</v>
      </c>
      <c r="D644" s="6">
        <v>2024</v>
      </c>
      <c r="E644" s="6">
        <v>2026</v>
      </c>
      <c r="F644" s="8">
        <v>29414</v>
      </c>
    </row>
    <row r="645" spans="1:6" x14ac:dyDescent="0.4">
      <c r="A645" s="6">
        <f t="shared" si="26"/>
        <v>644</v>
      </c>
      <c r="B645" s="6" t="str">
        <f t="shared" si="25"/>
        <v>Policy644</v>
      </c>
      <c r="C645" s="7" t="s">
        <v>12</v>
      </c>
      <c r="D645" s="6">
        <v>2022</v>
      </c>
      <c r="E645" s="6">
        <v>2024</v>
      </c>
      <c r="F645" s="8">
        <v>3500184</v>
      </c>
    </row>
    <row r="646" spans="1:6" x14ac:dyDescent="0.4">
      <c r="A646" s="6">
        <f t="shared" si="26"/>
        <v>645</v>
      </c>
      <c r="B646" s="6" t="str">
        <f t="shared" si="25"/>
        <v>Policy645</v>
      </c>
      <c r="C646" s="7" t="s">
        <v>12</v>
      </c>
      <c r="D646" s="6">
        <v>2024</v>
      </c>
      <c r="E646" s="6">
        <v>2025</v>
      </c>
      <c r="F646" s="8">
        <v>4613026</v>
      </c>
    </row>
    <row r="647" spans="1:6" x14ac:dyDescent="0.4">
      <c r="A647" s="6">
        <f t="shared" si="26"/>
        <v>646</v>
      </c>
      <c r="B647" s="6" t="str">
        <f t="shared" si="25"/>
        <v>Policy646</v>
      </c>
      <c r="C647" s="7" t="s">
        <v>12</v>
      </c>
      <c r="D647" s="6">
        <v>2021</v>
      </c>
      <c r="E647" s="6">
        <v>2025</v>
      </c>
      <c r="F647" s="8">
        <v>2563529</v>
      </c>
    </row>
    <row r="648" spans="1:6" x14ac:dyDescent="0.4">
      <c r="A648" s="6">
        <f t="shared" si="26"/>
        <v>647</v>
      </c>
      <c r="B648" s="6" t="str">
        <f t="shared" si="25"/>
        <v>Policy647</v>
      </c>
      <c r="C648" s="7" t="s">
        <v>11</v>
      </c>
      <c r="D648" s="6">
        <v>2021</v>
      </c>
      <c r="E648" s="6">
        <v>2024</v>
      </c>
      <c r="F648" s="8">
        <v>31088</v>
      </c>
    </row>
    <row r="649" spans="1:6" x14ac:dyDescent="0.4">
      <c r="A649" s="6">
        <f t="shared" si="26"/>
        <v>648</v>
      </c>
      <c r="B649" s="6" t="str">
        <f t="shared" si="25"/>
        <v>Policy648</v>
      </c>
      <c r="C649" s="7" t="s">
        <v>11</v>
      </c>
      <c r="D649" s="6">
        <v>2021</v>
      </c>
      <c r="E649" s="6">
        <v>2026</v>
      </c>
      <c r="F649" s="8">
        <v>20467</v>
      </c>
    </row>
    <row r="650" spans="1:6" x14ac:dyDescent="0.4">
      <c r="A650" s="6">
        <f t="shared" si="26"/>
        <v>649</v>
      </c>
      <c r="B650" s="6" t="str">
        <f t="shared" si="25"/>
        <v>Policy649</v>
      </c>
      <c r="C650" s="7" t="s">
        <v>12</v>
      </c>
      <c r="D650" s="6">
        <v>2024</v>
      </c>
      <c r="E650" s="6">
        <v>2025</v>
      </c>
      <c r="F650" s="8">
        <v>588135</v>
      </c>
    </row>
    <row r="651" spans="1:6" x14ac:dyDescent="0.4">
      <c r="A651" s="6">
        <f t="shared" si="26"/>
        <v>650</v>
      </c>
      <c r="B651" s="6" t="str">
        <f t="shared" si="25"/>
        <v>Policy650</v>
      </c>
      <c r="C651" s="7" t="s">
        <v>12</v>
      </c>
      <c r="D651" s="6">
        <v>2022</v>
      </c>
      <c r="E651" s="6">
        <v>2026</v>
      </c>
      <c r="F651" s="8">
        <v>3799724</v>
      </c>
    </row>
    <row r="652" spans="1:6" x14ac:dyDescent="0.4">
      <c r="A652" s="6">
        <f t="shared" si="26"/>
        <v>651</v>
      </c>
      <c r="B652" s="6" t="str">
        <f t="shared" si="25"/>
        <v>Policy651</v>
      </c>
      <c r="C652" s="7" t="s">
        <v>11</v>
      </c>
      <c r="D652" s="6">
        <v>2023</v>
      </c>
      <c r="E652" s="6">
        <v>2025</v>
      </c>
      <c r="F652" s="8">
        <v>4445</v>
      </c>
    </row>
    <row r="653" spans="1:6" x14ac:dyDescent="0.4">
      <c r="A653" s="6">
        <f t="shared" si="26"/>
        <v>652</v>
      </c>
      <c r="B653" s="6" t="str">
        <f t="shared" si="25"/>
        <v>Policy652</v>
      </c>
      <c r="C653" s="7" t="s">
        <v>11</v>
      </c>
      <c r="D653" s="6">
        <v>2021</v>
      </c>
      <c r="E653" s="6">
        <v>2025</v>
      </c>
      <c r="F653" s="8">
        <v>14506</v>
      </c>
    </row>
    <row r="654" spans="1:6" x14ac:dyDescent="0.4">
      <c r="A654" s="6">
        <f t="shared" si="26"/>
        <v>653</v>
      </c>
      <c r="B654" s="6" t="str">
        <f t="shared" si="25"/>
        <v>Policy653</v>
      </c>
      <c r="C654" s="7" t="s">
        <v>11</v>
      </c>
      <c r="D654" s="6">
        <v>2024</v>
      </c>
      <c r="E654" s="6">
        <v>2026</v>
      </c>
      <c r="F654" s="8">
        <v>16465</v>
      </c>
    </row>
    <row r="655" spans="1:6" x14ac:dyDescent="0.4">
      <c r="A655" s="6">
        <f t="shared" si="26"/>
        <v>654</v>
      </c>
      <c r="B655" s="6" t="str">
        <f t="shared" si="25"/>
        <v>Policy654</v>
      </c>
      <c r="C655" s="7" t="s">
        <v>11</v>
      </c>
      <c r="D655" s="6">
        <v>2023</v>
      </c>
      <c r="E655" s="6">
        <v>2025</v>
      </c>
      <c r="F655" s="8">
        <v>48908</v>
      </c>
    </row>
    <row r="656" spans="1:6" x14ac:dyDescent="0.4">
      <c r="A656" s="6">
        <f t="shared" si="26"/>
        <v>655</v>
      </c>
      <c r="B656" s="6" t="str">
        <f t="shared" si="25"/>
        <v>Policy655</v>
      </c>
      <c r="C656" s="7" t="s">
        <v>11</v>
      </c>
      <c r="D656" s="6">
        <v>2021</v>
      </c>
      <c r="E656" s="6">
        <v>2026</v>
      </c>
      <c r="F656" s="8">
        <v>5091</v>
      </c>
    </row>
    <row r="657" spans="1:6" x14ac:dyDescent="0.4">
      <c r="A657" s="6">
        <f t="shared" si="26"/>
        <v>656</v>
      </c>
      <c r="B657" s="6" t="str">
        <f t="shared" si="25"/>
        <v>Policy656</v>
      </c>
      <c r="C657" s="7" t="s">
        <v>11</v>
      </c>
      <c r="D657" s="6">
        <v>2025</v>
      </c>
      <c r="E657" s="6">
        <v>2026</v>
      </c>
      <c r="F657" s="8">
        <v>30482</v>
      </c>
    </row>
    <row r="658" spans="1:6" x14ac:dyDescent="0.4">
      <c r="A658" s="6">
        <f t="shared" si="26"/>
        <v>657</v>
      </c>
      <c r="B658" s="6" t="str">
        <f t="shared" si="25"/>
        <v>Policy657</v>
      </c>
      <c r="C658" s="7" t="s">
        <v>12</v>
      </c>
      <c r="D658" s="6">
        <v>2023</v>
      </c>
      <c r="E658" s="6">
        <v>2026</v>
      </c>
      <c r="F658" s="8">
        <v>368661</v>
      </c>
    </row>
    <row r="659" spans="1:6" x14ac:dyDescent="0.4">
      <c r="A659" s="6">
        <f t="shared" si="26"/>
        <v>658</v>
      </c>
      <c r="B659" s="6" t="str">
        <f t="shared" si="25"/>
        <v>Policy658</v>
      </c>
      <c r="C659" s="7" t="s">
        <v>12</v>
      </c>
      <c r="D659" s="6">
        <v>2021</v>
      </c>
      <c r="E659" s="6">
        <v>2026</v>
      </c>
      <c r="F659" s="8">
        <v>619098</v>
      </c>
    </row>
    <row r="660" spans="1:6" x14ac:dyDescent="0.4">
      <c r="A660" s="6">
        <f t="shared" si="26"/>
        <v>659</v>
      </c>
      <c r="B660" s="6" t="str">
        <f t="shared" si="25"/>
        <v>Policy659</v>
      </c>
      <c r="C660" s="7" t="s">
        <v>12</v>
      </c>
      <c r="D660" s="6">
        <v>2025</v>
      </c>
      <c r="E660" s="6">
        <v>2026</v>
      </c>
      <c r="F660" s="8">
        <v>1357795</v>
      </c>
    </row>
    <row r="661" spans="1:6" x14ac:dyDescent="0.4">
      <c r="A661" s="6">
        <f t="shared" si="26"/>
        <v>660</v>
      </c>
      <c r="B661" s="6" t="str">
        <f t="shared" si="25"/>
        <v>Policy660</v>
      </c>
      <c r="C661" s="7" t="s">
        <v>12</v>
      </c>
      <c r="D661" s="6">
        <v>2021</v>
      </c>
      <c r="E661" s="6">
        <v>2023</v>
      </c>
      <c r="F661" s="8">
        <v>1086586</v>
      </c>
    </row>
    <row r="662" spans="1:6" x14ac:dyDescent="0.4">
      <c r="A662" s="6">
        <f t="shared" si="26"/>
        <v>661</v>
      </c>
      <c r="B662" s="6" t="str">
        <f t="shared" si="25"/>
        <v>Policy661</v>
      </c>
      <c r="C662" s="7" t="s">
        <v>12</v>
      </c>
      <c r="D662" s="6">
        <v>2021</v>
      </c>
      <c r="E662" s="6">
        <v>2026</v>
      </c>
      <c r="F662" s="8">
        <v>109212</v>
      </c>
    </row>
    <row r="663" spans="1:6" x14ac:dyDescent="0.4">
      <c r="A663" s="6">
        <f t="shared" si="26"/>
        <v>662</v>
      </c>
      <c r="B663" s="6" t="str">
        <f t="shared" si="25"/>
        <v>Policy662</v>
      </c>
      <c r="C663" s="7" t="s">
        <v>12</v>
      </c>
      <c r="D663" s="6">
        <v>2025</v>
      </c>
      <c r="E663" s="6">
        <v>2026</v>
      </c>
      <c r="F663" s="8">
        <v>1651109</v>
      </c>
    </row>
    <row r="664" spans="1:6" x14ac:dyDescent="0.4">
      <c r="A664" s="6">
        <f t="shared" si="26"/>
        <v>663</v>
      </c>
      <c r="B664" s="6" t="str">
        <f t="shared" si="25"/>
        <v>Policy663</v>
      </c>
      <c r="C664" s="7" t="s">
        <v>12</v>
      </c>
      <c r="D664" s="6">
        <v>2024</v>
      </c>
      <c r="E664" s="6">
        <v>2025</v>
      </c>
      <c r="F664" s="8">
        <v>2832723</v>
      </c>
    </row>
    <row r="665" spans="1:6" x14ac:dyDescent="0.4">
      <c r="A665" s="6">
        <f t="shared" si="26"/>
        <v>664</v>
      </c>
      <c r="B665" s="6" t="str">
        <f t="shared" si="25"/>
        <v>Policy664</v>
      </c>
      <c r="C665" s="7" t="s">
        <v>11</v>
      </c>
      <c r="D665" s="6">
        <v>2024</v>
      </c>
      <c r="E665" s="6">
        <v>2026</v>
      </c>
      <c r="F665" s="8">
        <v>29409</v>
      </c>
    </row>
    <row r="666" spans="1:6" x14ac:dyDescent="0.4">
      <c r="A666" s="6">
        <f t="shared" si="26"/>
        <v>665</v>
      </c>
      <c r="B666" s="6" t="str">
        <f t="shared" si="25"/>
        <v>Policy665</v>
      </c>
      <c r="C666" s="7" t="s">
        <v>11</v>
      </c>
      <c r="D666" s="6">
        <v>2025</v>
      </c>
      <c r="E666" s="6">
        <v>2026</v>
      </c>
      <c r="F666" s="8">
        <v>19980</v>
      </c>
    </row>
    <row r="667" spans="1:6" x14ac:dyDescent="0.4">
      <c r="A667" s="6">
        <f t="shared" si="26"/>
        <v>666</v>
      </c>
      <c r="B667" s="6" t="str">
        <f t="shared" si="25"/>
        <v>Policy666</v>
      </c>
      <c r="C667" s="7" t="s">
        <v>12</v>
      </c>
      <c r="D667" s="6">
        <v>2021</v>
      </c>
      <c r="E667" s="6">
        <v>2023</v>
      </c>
      <c r="F667" s="8">
        <v>4081497</v>
      </c>
    </row>
    <row r="668" spans="1:6" x14ac:dyDescent="0.4">
      <c r="A668" s="6">
        <f t="shared" si="26"/>
        <v>667</v>
      </c>
      <c r="B668" s="6" t="str">
        <f t="shared" si="25"/>
        <v>Policy667</v>
      </c>
      <c r="C668" s="7" t="s">
        <v>11</v>
      </c>
      <c r="D668" s="6">
        <v>2022</v>
      </c>
      <c r="E668" s="6">
        <v>2024</v>
      </c>
      <c r="F668" s="8">
        <v>1640</v>
      </c>
    </row>
    <row r="669" spans="1:6" x14ac:dyDescent="0.4">
      <c r="A669" s="6">
        <f t="shared" si="26"/>
        <v>668</v>
      </c>
      <c r="B669" s="6" t="str">
        <f t="shared" si="25"/>
        <v>Policy668</v>
      </c>
      <c r="C669" s="7" t="s">
        <v>11</v>
      </c>
      <c r="D669" s="6">
        <v>2023</v>
      </c>
      <c r="E669" s="6">
        <v>2026</v>
      </c>
      <c r="F669" s="8">
        <v>30570</v>
      </c>
    </row>
    <row r="670" spans="1:6" x14ac:dyDescent="0.4">
      <c r="A670" s="6">
        <f t="shared" si="26"/>
        <v>669</v>
      </c>
      <c r="B670" s="6" t="str">
        <f t="shared" si="25"/>
        <v>Policy669</v>
      </c>
      <c r="C670" s="7" t="s">
        <v>11</v>
      </c>
      <c r="D670" s="6">
        <v>2021</v>
      </c>
      <c r="E670" s="6">
        <v>2026</v>
      </c>
      <c r="F670" s="8">
        <v>46642</v>
      </c>
    </row>
    <row r="671" spans="1:6" x14ac:dyDescent="0.4">
      <c r="A671" s="6">
        <f t="shared" si="26"/>
        <v>670</v>
      </c>
      <c r="B671" s="6" t="str">
        <f t="shared" si="25"/>
        <v>Policy670</v>
      </c>
      <c r="C671" s="7" t="s">
        <v>12</v>
      </c>
      <c r="D671" s="6">
        <v>2023</v>
      </c>
      <c r="E671" s="6">
        <v>2025</v>
      </c>
      <c r="F671" s="8">
        <v>4757890</v>
      </c>
    </row>
    <row r="672" spans="1:6" x14ac:dyDescent="0.4">
      <c r="A672" s="6">
        <f t="shared" si="26"/>
        <v>671</v>
      </c>
      <c r="B672" s="6" t="str">
        <f t="shared" si="25"/>
        <v>Policy671</v>
      </c>
      <c r="C672" s="7" t="s">
        <v>12</v>
      </c>
      <c r="D672" s="6">
        <v>2021</v>
      </c>
      <c r="E672" s="6">
        <v>2026</v>
      </c>
      <c r="F672" s="8">
        <v>4092699</v>
      </c>
    </row>
    <row r="673" spans="1:6" x14ac:dyDescent="0.4">
      <c r="A673" s="6">
        <f t="shared" si="26"/>
        <v>672</v>
      </c>
      <c r="B673" s="6" t="str">
        <f t="shared" si="25"/>
        <v>Policy672</v>
      </c>
      <c r="C673" s="7" t="s">
        <v>12</v>
      </c>
      <c r="D673" s="6">
        <v>2024</v>
      </c>
      <c r="E673" s="6">
        <v>2025</v>
      </c>
      <c r="F673" s="8">
        <v>1164519</v>
      </c>
    </row>
    <row r="674" spans="1:6" x14ac:dyDescent="0.4">
      <c r="A674" s="6">
        <f t="shared" si="26"/>
        <v>673</v>
      </c>
      <c r="B674" s="6" t="str">
        <f t="shared" si="25"/>
        <v>Policy673</v>
      </c>
      <c r="C674" s="7" t="s">
        <v>11</v>
      </c>
      <c r="D674" s="6">
        <v>2022</v>
      </c>
      <c r="E674" s="6">
        <v>2023</v>
      </c>
      <c r="F674" s="8">
        <v>24088</v>
      </c>
    </row>
    <row r="675" spans="1:6" x14ac:dyDescent="0.4">
      <c r="A675" s="6">
        <f t="shared" si="26"/>
        <v>674</v>
      </c>
      <c r="B675" s="6" t="str">
        <f t="shared" si="25"/>
        <v>Policy674</v>
      </c>
      <c r="C675" s="7" t="s">
        <v>12</v>
      </c>
      <c r="D675" s="6">
        <v>2025</v>
      </c>
      <c r="E675" s="6">
        <v>2026</v>
      </c>
      <c r="F675" s="8">
        <v>246377</v>
      </c>
    </row>
    <row r="676" spans="1:6" x14ac:dyDescent="0.4">
      <c r="A676" s="6">
        <f t="shared" si="26"/>
        <v>675</v>
      </c>
      <c r="B676" s="6" t="str">
        <f t="shared" si="25"/>
        <v>Policy675</v>
      </c>
      <c r="C676" s="7" t="s">
        <v>11</v>
      </c>
      <c r="D676" s="6">
        <v>2022</v>
      </c>
      <c r="E676" s="6">
        <v>2026</v>
      </c>
      <c r="F676" s="8">
        <v>11976</v>
      </c>
    </row>
    <row r="677" spans="1:6" x14ac:dyDescent="0.4">
      <c r="A677" s="6">
        <f t="shared" si="26"/>
        <v>676</v>
      </c>
      <c r="B677" s="6" t="str">
        <f t="shared" si="25"/>
        <v>Policy676</v>
      </c>
      <c r="C677" s="7" t="s">
        <v>11</v>
      </c>
      <c r="D677" s="6">
        <v>2024</v>
      </c>
      <c r="E677" s="6">
        <v>2025</v>
      </c>
      <c r="F677" s="8">
        <v>34126</v>
      </c>
    </row>
    <row r="678" spans="1:6" x14ac:dyDescent="0.4">
      <c r="A678" s="6">
        <f t="shared" si="26"/>
        <v>677</v>
      </c>
      <c r="B678" s="6" t="str">
        <f t="shared" si="25"/>
        <v>Policy677</v>
      </c>
      <c r="C678" s="7" t="s">
        <v>11</v>
      </c>
      <c r="D678" s="6">
        <v>2024</v>
      </c>
      <c r="E678" s="6">
        <v>2026</v>
      </c>
      <c r="F678" s="8">
        <v>5692</v>
      </c>
    </row>
    <row r="679" spans="1:6" x14ac:dyDescent="0.4">
      <c r="A679" s="6">
        <f t="shared" si="26"/>
        <v>678</v>
      </c>
      <c r="B679" s="6" t="str">
        <f t="shared" si="25"/>
        <v>Policy678</v>
      </c>
      <c r="C679" s="7" t="s">
        <v>11</v>
      </c>
      <c r="D679" s="6">
        <v>2023</v>
      </c>
      <c r="E679" s="6">
        <v>2025</v>
      </c>
      <c r="F679" s="8">
        <v>3208</v>
      </c>
    </row>
    <row r="680" spans="1:6" x14ac:dyDescent="0.4">
      <c r="A680" s="6">
        <f t="shared" si="26"/>
        <v>679</v>
      </c>
      <c r="B680" s="6" t="str">
        <f t="shared" si="25"/>
        <v>Policy679</v>
      </c>
      <c r="C680" s="7" t="s">
        <v>12</v>
      </c>
      <c r="D680" s="6">
        <v>2021</v>
      </c>
      <c r="E680" s="6">
        <v>2023</v>
      </c>
      <c r="F680" s="8">
        <v>217990</v>
      </c>
    </row>
    <row r="681" spans="1:6" x14ac:dyDescent="0.4">
      <c r="A681" s="6">
        <f t="shared" si="26"/>
        <v>680</v>
      </c>
      <c r="B681" s="6" t="str">
        <f t="shared" si="25"/>
        <v>Policy680</v>
      </c>
      <c r="C681" s="7" t="s">
        <v>11</v>
      </c>
      <c r="D681" s="6">
        <v>2025</v>
      </c>
      <c r="E681" s="6">
        <v>2026</v>
      </c>
      <c r="F681" s="8">
        <v>19604</v>
      </c>
    </row>
    <row r="682" spans="1:6" x14ac:dyDescent="0.4">
      <c r="A682" s="6">
        <f t="shared" si="26"/>
        <v>681</v>
      </c>
      <c r="B682" s="6" t="str">
        <f t="shared" si="25"/>
        <v>Policy681</v>
      </c>
      <c r="C682" s="7" t="s">
        <v>12</v>
      </c>
      <c r="D682" s="6">
        <v>2021</v>
      </c>
      <c r="E682" s="6">
        <v>2024</v>
      </c>
      <c r="F682" s="8">
        <v>1288754</v>
      </c>
    </row>
    <row r="683" spans="1:6" x14ac:dyDescent="0.4">
      <c r="A683" s="6">
        <f t="shared" si="26"/>
        <v>682</v>
      </c>
      <c r="B683" s="6" t="str">
        <f t="shared" si="25"/>
        <v>Policy682</v>
      </c>
      <c r="C683" s="7" t="s">
        <v>12</v>
      </c>
      <c r="D683" s="6">
        <v>2024</v>
      </c>
      <c r="E683" s="6">
        <v>2026</v>
      </c>
      <c r="F683" s="8">
        <v>937870</v>
      </c>
    </row>
    <row r="684" spans="1:6" x14ac:dyDescent="0.4">
      <c r="A684" s="6">
        <f t="shared" si="26"/>
        <v>683</v>
      </c>
      <c r="B684" s="6" t="str">
        <f t="shared" si="25"/>
        <v>Policy683</v>
      </c>
      <c r="C684" s="7" t="s">
        <v>11</v>
      </c>
      <c r="D684" s="6">
        <v>2025</v>
      </c>
      <c r="E684" s="6">
        <v>2026</v>
      </c>
      <c r="F684" s="8">
        <v>15845</v>
      </c>
    </row>
    <row r="685" spans="1:6" x14ac:dyDescent="0.4">
      <c r="A685" s="6">
        <f t="shared" si="26"/>
        <v>684</v>
      </c>
      <c r="B685" s="6" t="str">
        <f t="shared" si="25"/>
        <v>Policy684</v>
      </c>
      <c r="C685" s="7" t="s">
        <v>12</v>
      </c>
      <c r="D685" s="6">
        <v>2025</v>
      </c>
      <c r="E685" s="6">
        <v>2026</v>
      </c>
      <c r="F685" s="8">
        <v>4949705</v>
      </c>
    </row>
    <row r="686" spans="1:6" x14ac:dyDescent="0.4">
      <c r="A686" s="6">
        <f t="shared" si="26"/>
        <v>685</v>
      </c>
      <c r="B686" s="6" t="str">
        <f t="shared" si="25"/>
        <v>Policy685</v>
      </c>
      <c r="C686" s="7" t="s">
        <v>11</v>
      </c>
      <c r="D686" s="6">
        <v>2025</v>
      </c>
      <c r="E686" s="6">
        <v>2026</v>
      </c>
      <c r="F686" s="8">
        <v>26000</v>
      </c>
    </row>
    <row r="687" spans="1:6" x14ac:dyDescent="0.4">
      <c r="A687" s="6">
        <f t="shared" si="26"/>
        <v>686</v>
      </c>
      <c r="B687" s="6" t="str">
        <f t="shared" si="25"/>
        <v>Policy686</v>
      </c>
      <c r="C687" s="7" t="s">
        <v>12</v>
      </c>
      <c r="D687" s="6">
        <v>2025</v>
      </c>
      <c r="E687" s="6">
        <v>2026</v>
      </c>
      <c r="F687" s="8">
        <v>1940954</v>
      </c>
    </row>
    <row r="688" spans="1:6" x14ac:dyDescent="0.4">
      <c r="A688" s="6">
        <f t="shared" si="26"/>
        <v>687</v>
      </c>
      <c r="B688" s="6" t="str">
        <f t="shared" si="25"/>
        <v>Policy687</v>
      </c>
      <c r="C688" s="7" t="s">
        <v>12</v>
      </c>
      <c r="D688" s="6">
        <v>2023</v>
      </c>
      <c r="E688" s="6">
        <v>2025</v>
      </c>
      <c r="F688" s="8">
        <v>2139928</v>
      </c>
    </row>
    <row r="689" spans="1:6" x14ac:dyDescent="0.4">
      <c r="A689" s="6">
        <f t="shared" si="26"/>
        <v>688</v>
      </c>
      <c r="B689" s="6" t="str">
        <f t="shared" si="25"/>
        <v>Policy688</v>
      </c>
      <c r="C689" s="7" t="s">
        <v>11</v>
      </c>
      <c r="D689" s="6">
        <v>2025</v>
      </c>
      <c r="E689" s="6">
        <v>2026</v>
      </c>
      <c r="F689" s="8">
        <v>13820</v>
      </c>
    </row>
    <row r="690" spans="1:6" x14ac:dyDescent="0.4">
      <c r="A690" s="6">
        <f t="shared" si="26"/>
        <v>689</v>
      </c>
      <c r="B690" s="6" t="str">
        <f t="shared" si="25"/>
        <v>Policy689</v>
      </c>
      <c r="C690" s="7" t="s">
        <v>11</v>
      </c>
      <c r="D690" s="6">
        <v>2022</v>
      </c>
      <c r="E690" s="6">
        <v>2025</v>
      </c>
      <c r="F690" s="8">
        <v>21348</v>
      </c>
    </row>
    <row r="691" spans="1:6" x14ac:dyDescent="0.4">
      <c r="A691" s="6">
        <f t="shared" si="26"/>
        <v>690</v>
      </c>
      <c r="B691" s="6" t="str">
        <f t="shared" si="25"/>
        <v>Policy690</v>
      </c>
      <c r="C691" s="7" t="s">
        <v>12</v>
      </c>
      <c r="D691" s="6">
        <v>2022</v>
      </c>
      <c r="E691" s="6">
        <v>2023</v>
      </c>
      <c r="F691" s="8">
        <v>3430548</v>
      </c>
    </row>
    <row r="692" spans="1:6" x14ac:dyDescent="0.4">
      <c r="A692" s="6">
        <f t="shared" si="26"/>
        <v>691</v>
      </c>
      <c r="B692" s="6" t="str">
        <f t="shared" si="25"/>
        <v>Policy691</v>
      </c>
      <c r="C692" s="7" t="s">
        <v>12</v>
      </c>
      <c r="D692" s="6">
        <v>2025</v>
      </c>
      <c r="E692" s="6">
        <v>2026</v>
      </c>
      <c r="F692" s="8">
        <v>1179647</v>
      </c>
    </row>
    <row r="693" spans="1:6" x14ac:dyDescent="0.4">
      <c r="A693" s="6">
        <f t="shared" si="26"/>
        <v>692</v>
      </c>
      <c r="B693" s="6" t="str">
        <f t="shared" si="25"/>
        <v>Policy692</v>
      </c>
      <c r="C693" s="7" t="s">
        <v>12</v>
      </c>
      <c r="D693" s="6">
        <v>2025</v>
      </c>
      <c r="E693" s="6">
        <v>2026</v>
      </c>
      <c r="F693" s="8">
        <v>2732969</v>
      </c>
    </row>
    <row r="694" spans="1:6" x14ac:dyDescent="0.4">
      <c r="A694" s="6">
        <f t="shared" si="26"/>
        <v>693</v>
      </c>
      <c r="B694" s="6" t="str">
        <f t="shared" si="25"/>
        <v>Policy693</v>
      </c>
      <c r="C694" s="7" t="s">
        <v>11</v>
      </c>
      <c r="D694" s="6">
        <v>2025</v>
      </c>
      <c r="E694" s="6">
        <v>2026</v>
      </c>
      <c r="F694" s="8">
        <v>38142</v>
      </c>
    </row>
    <row r="695" spans="1:6" x14ac:dyDescent="0.4">
      <c r="A695" s="6">
        <f t="shared" si="26"/>
        <v>694</v>
      </c>
      <c r="B695" s="6" t="str">
        <f t="shared" si="25"/>
        <v>Policy694</v>
      </c>
      <c r="C695" s="7" t="s">
        <v>12</v>
      </c>
      <c r="D695" s="6">
        <v>2023</v>
      </c>
      <c r="E695" s="6">
        <v>2024</v>
      </c>
      <c r="F695" s="8">
        <v>4655333</v>
      </c>
    </row>
    <row r="696" spans="1:6" x14ac:dyDescent="0.4">
      <c r="A696" s="6">
        <f t="shared" si="26"/>
        <v>695</v>
      </c>
      <c r="B696" s="6" t="str">
        <f t="shared" si="25"/>
        <v>Policy695</v>
      </c>
      <c r="C696" s="7" t="s">
        <v>11</v>
      </c>
      <c r="D696" s="6">
        <v>2021</v>
      </c>
      <c r="E696" s="6">
        <v>2024</v>
      </c>
      <c r="F696" s="8">
        <v>9619</v>
      </c>
    </row>
    <row r="697" spans="1:6" x14ac:dyDescent="0.4">
      <c r="A697" s="6">
        <f t="shared" si="26"/>
        <v>696</v>
      </c>
      <c r="B697" s="6" t="str">
        <f t="shared" si="25"/>
        <v>Policy696</v>
      </c>
      <c r="C697" s="7" t="s">
        <v>11</v>
      </c>
      <c r="D697" s="6">
        <v>2021</v>
      </c>
      <c r="E697" s="6">
        <v>2026</v>
      </c>
      <c r="F697" s="8">
        <v>1632</v>
      </c>
    </row>
    <row r="698" spans="1:6" x14ac:dyDescent="0.4">
      <c r="A698" s="6">
        <f t="shared" si="26"/>
        <v>697</v>
      </c>
      <c r="B698" s="6" t="str">
        <f t="shared" si="25"/>
        <v>Policy697</v>
      </c>
      <c r="C698" s="7" t="s">
        <v>11</v>
      </c>
      <c r="D698" s="6">
        <v>2023</v>
      </c>
      <c r="E698" s="6">
        <v>2024</v>
      </c>
      <c r="F698" s="8">
        <v>12062</v>
      </c>
    </row>
    <row r="699" spans="1:6" x14ac:dyDescent="0.4">
      <c r="A699" s="6">
        <f t="shared" si="26"/>
        <v>698</v>
      </c>
      <c r="B699" s="6" t="str">
        <f t="shared" si="25"/>
        <v>Policy698</v>
      </c>
      <c r="C699" s="7" t="s">
        <v>11</v>
      </c>
      <c r="D699" s="6">
        <v>2021</v>
      </c>
      <c r="E699" s="6">
        <v>2026</v>
      </c>
      <c r="F699" s="8">
        <v>26244</v>
      </c>
    </row>
    <row r="700" spans="1:6" x14ac:dyDescent="0.4">
      <c r="A700" s="6">
        <f t="shared" si="26"/>
        <v>699</v>
      </c>
      <c r="B700" s="6" t="str">
        <f t="shared" si="25"/>
        <v>Policy699</v>
      </c>
      <c r="C700" s="7" t="s">
        <v>11</v>
      </c>
      <c r="D700" s="6">
        <v>2024</v>
      </c>
      <c r="E700" s="6">
        <v>2025</v>
      </c>
      <c r="F700" s="8">
        <v>379</v>
      </c>
    </row>
    <row r="701" spans="1:6" x14ac:dyDescent="0.4">
      <c r="A701" s="6">
        <f t="shared" si="26"/>
        <v>700</v>
      </c>
      <c r="B701" s="6" t="str">
        <f t="shared" si="25"/>
        <v>Policy700</v>
      </c>
      <c r="C701" s="7" t="s">
        <v>11</v>
      </c>
      <c r="D701" s="6">
        <v>2024</v>
      </c>
      <c r="E701" s="6">
        <v>2025</v>
      </c>
      <c r="F701" s="8">
        <v>45658</v>
      </c>
    </row>
    <row r="702" spans="1:6" x14ac:dyDescent="0.4">
      <c r="A702" s="6">
        <f t="shared" si="26"/>
        <v>701</v>
      </c>
      <c r="B702" s="6" t="str">
        <f t="shared" si="25"/>
        <v>Policy701</v>
      </c>
      <c r="C702" s="7" t="s">
        <v>11</v>
      </c>
      <c r="D702" s="6">
        <v>2021</v>
      </c>
      <c r="E702" s="6">
        <v>2022</v>
      </c>
      <c r="F702" s="8">
        <v>27144</v>
      </c>
    </row>
    <row r="703" spans="1:6" x14ac:dyDescent="0.4">
      <c r="A703" s="6">
        <f t="shared" si="26"/>
        <v>702</v>
      </c>
      <c r="B703" s="6" t="str">
        <f t="shared" si="25"/>
        <v>Policy702</v>
      </c>
      <c r="C703" s="7" t="s">
        <v>12</v>
      </c>
      <c r="D703" s="6">
        <v>2023</v>
      </c>
      <c r="E703" s="6">
        <v>2025</v>
      </c>
      <c r="F703" s="8">
        <v>4990409</v>
      </c>
    </row>
    <row r="704" spans="1:6" x14ac:dyDescent="0.4">
      <c r="A704" s="6">
        <f t="shared" si="26"/>
        <v>703</v>
      </c>
      <c r="B704" s="6" t="str">
        <f t="shared" si="25"/>
        <v>Policy703</v>
      </c>
      <c r="C704" s="7" t="s">
        <v>12</v>
      </c>
      <c r="D704" s="6">
        <v>2025</v>
      </c>
      <c r="E704" s="6">
        <v>2026</v>
      </c>
      <c r="F704" s="8">
        <v>4834712</v>
      </c>
    </row>
    <row r="705" spans="1:6" x14ac:dyDescent="0.4">
      <c r="A705" s="6">
        <f t="shared" si="26"/>
        <v>704</v>
      </c>
      <c r="B705" s="6" t="str">
        <f t="shared" si="25"/>
        <v>Policy704</v>
      </c>
      <c r="C705" s="7" t="s">
        <v>11</v>
      </c>
      <c r="D705" s="6">
        <v>2024</v>
      </c>
      <c r="E705" s="6">
        <v>2026</v>
      </c>
      <c r="F705" s="8">
        <v>30282</v>
      </c>
    </row>
    <row r="706" spans="1:6" x14ac:dyDescent="0.4">
      <c r="A706" s="6">
        <f t="shared" si="26"/>
        <v>705</v>
      </c>
      <c r="B706" s="6" t="str">
        <f t="shared" si="25"/>
        <v>Policy705</v>
      </c>
      <c r="C706" s="7" t="s">
        <v>12</v>
      </c>
      <c r="D706" s="6">
        <v>2021</v>
      </c>
      <c r="E706" s="6">
        <v>2022</v>
      </c>
      <c r="F706" s="8">
        <v>110462</v>
      </c>
    </row>
    <row r="707" spans="1:6" x14ac:dyDescent="0.4">
      <c r="A707" s="6">
        <f t="shared" si="26"/>
        <v>706</v>
      </c>
      <c r="B707" s="6" t="str">
        <f t="shared" ref="B707:B770" si="27">"Policy"&amp;A707</f>
        <v>Policy706</v>
      </c>
      <c r="C707" s="7" t="s">
        <v>12</v>
      </c>
      <c r="D707" s="6">
        <v>2025</v>
      </c>
      <c r="E707" s="6">
        <v>2026</v>
      </c>
      <c r="F707" s="8">
        <v>4038568</v>
      </c>
    </row>
    <row r="708" spans="1:6" x14ac:dyDescent="0.4">
      <c r="A708" s="6">
        <f t="shared" ref="A708:A771" si="28">A707+1</f>
        <v>707</v>
      </c>
      <c r="B708" s="6" t="str">
        <f t="shared" si="27"/>
        <v>Policy707</v>
      </c>
      <c r="C708" s="7" t="s">
        <v>11</v>
      </c>
      <c r="D708" s="6">
        <v>2023</v>
      </c>
      <c r="E708" s="6">
        <v>2026</v>
      </c>
      <c r="F708" s="8">
        <v>1393</v>
      </c>
    </row>
    <row r="709" spans="1:6" x14ac:dyDescent="0.4">
      <c r="A709" s="6">
        <f t="shared" si="28"/>
        <v>708</v>
      </c>
      <c r="B709" s="6" t="str">
        <f t="shared" si="27"/>
        <v>Policy708</v>
      </c>
      <c r="C709" s="7" t="s">
        <v>11</v>
      </c>
      <c r="D709" s="6">
        <v>2024</v>
      </c>
      <c r="E709" s="6">
        <v>2026</v>
      </c>
      <c r="F709" s="8">
        <v>22395</v>
      </c>
    </row>
    <row r="710" spans="1:6" x14ac:dyDescent="0.4">
      <c r="A710" s="6">
        <f t="shared" si="28"/>
        <v>709</v>
      </c>
      <c r="B710" s="6" t="str">
        <f t="shared" si="27"/>
        <v>Policy709</v>
      </c>
      <c r="C710" s="7" t="s">
        <v>11</v>
      </c>
      <c r="D710" s="6">
        <v>2021</v>
      </c>
      <c r="E710" s="6">
        <v>2023</v>
      </c>
      <c r="F710" s="8">
        <v>49507</v>
      </c>
    </row>
    <row r="711" spans="1:6" x14ac:dyDescent="0.4">
      <c r="A711" s="6">
        <f t="shared" si="28"/>
        <v>710</v>
      </c>
      <c r="B711" s="6" t="str">
        <f t="shared" si="27"/>
        <v>Policy710</v>
      </c>
      <c r="C711" s="7" t="s">
        <v>11</v>
      </c>
      <c r="D711" s="6">
        <v>2021</v>
      </c>
      <c r="E711" s="6">
        <v>2024</v>
      </c>
      <c r="F711" s="8">
        <v>9270</v>
      </c>
    </row>
    <row r="712" spans="1:6" x14ac:dyDescent="0.4">
      <c r="A712" s="6">
        <f t="shared" si="28"/>
        <v>711</v>
      </c>
      <c r="B712" s="6" t="str">
        <f t="shared" si="27"/>
        <v>Policy711</v>
      </c>
      <c r="C712" s="7" t="s">
        <v>11</v>
      </c>
      <c r="D712" s="6">
        <v>2022</v>
      </c>
      <c r="E712" s="6">
        <v>2026</v>
      </c>
      <c r="F712" s="8">
        <v>11309</v>
      </c>
    </row>
    <row r="713" spans="1:6" x14ac:dyDescent="0.4">
      <c r="A713" s="6">
        <f t="shared" si="28"/>
        <v>712</v>
      </c>
      <c r="B713" s="6" t="str">
        <f t="shared" si="27"/>
        <v>Policy712</v>
      </c>
      <c r="C713" s="7" t="s">
        <v>12</v>
      </c>
      <c r="D713" s="6">
        <v>2021</v>
      </c>
      <c r="E713" s="6">
        <v>2025</v>
      </c>
      <c r="F713" s="8">
        <v>1017693</v>
      </c>
    </row>
    <row r="714" spans="1:6" x14ac:dyDescent="0.4">
      <c r="A714" s="6">
        <f t="shared" si="28"/>
        <v>713</v>
      </c>
      <c r="B714" s="6" t="str">
        <f t="shared" si="27"/>
        <v>Policy713</v>
      </c>
      <c r="C714" s="7" t="s">
        <v>12</v>
      </c>
      <c r="D714" s="6">
        <v>2022</v>
      </c>
      <c r="E714" s="6">
        <v>2026</v>
      </c>
      <c r="F714" s="8">
        <v>461650</v>
      </c>
    </row>
    <row r="715" spans="1:6" x14ac:dyDescent="0.4">
      <c r="A715" s="6">
        <f t="shared" si="28"/>
        <v>714</v>
      </c>
      <c r="B715" s="6" t="str">
        <f t="shared" si="27"/>
        <v>Policy714</v>
      </c>
      <c r="C715" s="7" t="s">
        <v>11</v>
      </c>
      <c r="D715" s="6">
        <v>2023</v>
      </c>
      <c r="E715" s="6">
        <v>2025</v>
      </c>
      <c r="F715" s="8">
        <v>39010</v>
      </c>
    </row>
    <row r="716" spans="1:6" x14ac:dyDescent="0.4">
      <c r="A716" s="6">
        <f t="shared" si="28"/>
        <v>715</v>
      </c>
      <c r="B716" s="6" t="str">
        <f t="shared" si="27"/>
        <v>Policy715</v>
      </c>
      <c r="C716" s="7" t="s">
        <v>12</v>
      </c>
      <c r="D716" s="6">
        <v>2024</v>
      </c>
      <c r="E716" s="6">
        <v>2026</v>
      </c>
      <c r="F716" s="8">
        <v>2327451</v>
      </c>
    </row>
    <row r="717" spans="1:6" x14ac:dyDescent="0.4">
      <c r="A717" s="6">
        <f t="shared" si="28"/>
        <v>716</v>
      </c>
      <c r="B717" s="6" t="str">
        <f t="shared" si="27"/>
        <v>Policy716</v>
      </c>
      <c r="C717" s="7" t="s">
        <v>11</v>
      </c>
      <c r="D717" s="6">
        <v>2023</v>
      </c>
      <c r="E717" s="6">
        <v>2026</v>
      </c>
      <c r="F717" s="8">
        <v>4402</v>
      </c>
    </row>
    <row r="718" spans="1:6" x14ac:dyDescent="0.4">
      <c r="A718" s="6">
        <f t="shared" si="28"/>
        <v>717</v>
      </c>
      <c r="B718" s="6" t="str">
        <f t="shared" si="27"/>
        <v>Policy717</v>
      </c>
      <c r="C718" s="7" t="s">
        <v>12</v>
      </c>
      <c r="D718" s="6">
        <v>2025</v>
      </c>
      <c r="E718" s="6">
        <v>2026</v>
      </c>
      <c r="F718" s="8">
        <v>4796457</v>
      </c>
    </row>
    <row r="719" spans="1:6" x14ac:dyDescent="0.4">
      <c r="A719" s="6">
        <f t="shared" si="28"/>
        <v>718</v>
      </c>
      <c r="B719" s="6" t="str">
        <f t="shared" si="27"/>
        <v>Policy718</v>
      </c>
      <c r="C719" s="7" t="s">
        <v>12</v>
      </c>
      <c r="D719" s="6">
        <v>2024</v>
      </c>
      <c r="E719" s="6">
        <v>2025</v>
      </c>
      <c r="F719" s="8">
        <v>618599</v>
      </c>
    </row>
    <row r="720" spans="1:6" x14ac:dyDescent="0.4">
      <c r="A720" s="6">
        <f t="shared" si="28"/>
        <v>719</v>
      </c>
      <c r="B720" s="6" t="str">
        <f t="shared" si="27"/>
        <v>Policy719</v>
      </c>
      <c r="C720" s="7" t="s">
        <v>12</v>
      </c>
      <c r="D720" s="6">
        <v>2024</v>
      </c>
      <c r="E720" s="6">
        <v>2025</v>
      </c>
      <c r="F720" s="8">
        <v>1020703</v>
      </c>
    </row>
    <row r="721" spans="1:6" x14ac:dyDescent="0.4">
      <c r="A721" s="6">
        <f t="shared" si="28"/>
        <v>720</v>
      </c>
      <c r="B721" s="6" t="str">
        <f t="shared" si="27"/>
        <v>Policy720</v>
      </c>
      <c r="C721" s="7" t="s">
        <v>12</v>
      </c>
      <c r="D721" s="6">
        <v>2024</v>
      </c>
      <c r="E721" s="6">
        <v>2025</v>
      </c>
      <c r="F721" s="8">
        <v>2378717</v>
      </c>
    </row>
    <row r="722" spans="1:6" x14ac:dyDescent="0.4">
      <c r="A722" s="6">
        <f t="shared" si="28"/>
        <v>721</v>
      </c>
      <c r="B722" s="6" t="str">
        <f t="shared" si="27"/>
        <v>Policy721</v>
      </c>
      <c r="C722" s="7" t="s">
        <v>11</v>
      </c>
      <c r="D722" s="6">
        <v>2025</v>
      </c>
      <c r="E722" s="6">
        <v>2026</v>
      </c>
      <c r="F722" s="8">
        <v>37221</v>
      </c>
    </row>
    <row r="723" spans="1:6" x14ac:dyDescent="0.4">
      <c r="A723" s="6">
        <f t="shared" si="28"/>
        <v>722</v>
      </c>
      <c r="B723" s="6" t="str">
        <f t="shared" si="27"/>
        <v>Policy722</v>
      </c>
      <c r="C723" s="7" t="s">
        <v>12</v>
      </c>
      <c r="D723" s="6">
        <v>2025</v>
      </c>
      <c r="E723" s="6">
        <v>2026</v>
      </c>
      <c r="F723" s="8">
        <v>1018400</v>
      </c>
    </row>
    <row r="724" spans="1:6" x14ac:dyDescent="0.4">
      <c r="A724" s="6">
        <f t="shared" si="28"/>
        <v>723</v>
      </c>
      <c r="B724" s="6" t="str">
        <f t="shared" si="27"/>
        <v>Policy723</v>
      </c>
      <c r="C724" s="7" t="s">
        <v>11</v>
      </c>
      <c r="D724" s="6">
        <v>2023</v>
      </c>
      <c r="E724" s="6">
        <v>2025</v>
      </c>
      <c r="F724" s="8">
        <v>2318</v>
      </c>
    </row>
    <row r="725" spans="1:6" x14ac:dyDescent="0.4">
      <c r="A725" s="6">
        <f t="shared" si="28"/>
        <v>724</v>
      </c>
      <c r="B725" s="6" t="str">
        <f t="shared" si="27"/>
        <v>Policy724</v>
      </c>
      <c r="C725" s="7" t="s">
        <v>11</v>
      </c>
      <c r="D725" s="6">
        <v>2023</v>
      </c>
      <c r="E725" s="6">
        <v>2026</v>
      </c>
      <c r="F725" s="8">
        <v>24559</v>
      </c>
    </row>
    <row r="726" spans="1:6" x14ac:dyDescent="0.4">
      <c r="A726" s="6">
        <f t="shared" si="28"/>
        <v>725</v>
      </c>
      <c r="B726" s="6" t="str">
        <f t="shared" si="27"/>
        <v>Policy725</v>
      </c>
      <c r="C726" s="7" t="s">
        <v>12</v>
      </c>
      <c r="D726" s="6">
        <v>2023</v>
      </c>
      <c r="E726" s="6">
        <v>2025</v>
      </c>
      <c r="F726" s="8">
        <v>644613</v>
      </c>
    </row>
    <row r="727" spans="1:6" x14ac:dyDescent="0.4">
      <c r="A727" s="6">
        <f t="shared" si="28"/>
        <v>726</v>
      </c>
      <c r="B727" s="6" t="str">
        <f t="shared" si="27"/>
        <v>Policy726</v>
      </c>
      <c r="C727" s="7" t="s">
        <v>11</v>
      </c>
      <c r="D727" s="6">
        <v>2025</v>
      </c>
      <c r="E727" s="6">
        <v>2026</v>
      </c>
      <c r="F727" s="8">
        <v>34647</v>
      </c>
    </row>
    <row r="728" spans="1:6" x14ac:dyDescent="0.4">
      <c r="A728" s="6">
        <f t="shared" si="28"/>
        <v>727</v>
      </c>
      <c r="B728" s="6" t="str">
        <f t="shared" si="27"/>
        <v>Policy727</v>
      </c>
      <c r="C728" s="7" t="s">
        <v>12</v>
      </c>
      <c r="D728" s="6">
        <v>2023</v>
      </c>
      <c r="E728" s="6">
        <v>2025</v>
      </c>
      <c r="F728" s="8">
        <v>910817</v>
      </c>
    </row>
    <row r="729" spans="1:6" x14ac:dyDescent="0.4">
      <c r="A729" s="6">
        <f t="shared" si="28"/>
        <v>728</v>
      </c>
      <c r="B729" s="6" t="str">
        <f t="shared" si="27"/>
        <v>Policy728</v>
      </c>
      <c r="C729" s="7" t="s">
        <v>11</v>
      </c>
      <c r="D729" s="6">
        <v>2022</v>
      </c>
      <c r="E729" s="6">
        <v>2026</v>
      </c>
      <c r="F729" s="8">
        <v>22109</v>
      </c>
    </row>
    <row r="730" spans="1:6" x14ac:dyDescent="0.4">
      <c r="A730" s="6">
        <f t="shared" si="28"/>
        <v>729</v>
      </c>
      <c r="B730" s="6" t="str">
        <f t="shared" si="27"/>
        <v>Policy729</v>
      </c>
      <c r="C730" s="7" t="s">
        <v>11</v>
      </c>
      <c r="D730" s="6">
        <v>2023</v>
      </c>
      <c r="E730" s="6">
        <v>2026</v>
      </c>
      <c r="F730" s="8">
        <v>29648</v>
      </c>
    </row>
    <row r="731" spans="1:6" x14ac:dyDescent="0.4">
      <c r="A731" s="6">
        <f t="shared" si="28"/>
        <v>730</v>
      </c>
      <c r="B731" s="6" t="str">
        <f t="shared" si="27"/>
        <v>Policy730</v>
      </c>
      <c r="C731" s="7" t="s">
        <v>12</v>
      </c>
      <c r="D731" s="6">
        <v>2023</v>
      </c>
      <c r="E731" s="6">
        <v>2026</v>
      </c>
      <c r="F731" s="8">
        <v>3494803</v>
      </c>
    </row>
    <row r="732" spans="1:6" x14ac:dyDescent="0.4">
      <c r="A732" s="6">
        <f t="shared" si="28"/>
        <v>731</v>
      </c>
      <c r="B732" s="6" t="str">
        <f t="shared" si="27"/>
        <v>Policy731</v>
      </c>
      <c r="C732" s="7" t="s">
        <v>12</v>
      </c>
      <c r="D732" s="6">
        <v>2025</v>
      </c>
      <c r="E732" s="6">
        <v>2026</v>
      </c>
      <c r="F732" s="8">
        <v>899307</v>
      </c>
    </row>
    <row r="733" spans="1:6" x14ac:dyDescent="0.4">
      <c r="A733" s="6">
        <f t="shared" si="28"/>
        <v>732</v>
      </c>
      <c r="B733" s="6" t="str">
        <f t="shared" si="27"/>
        <v>Policy732</v>
      </c>
      <c r="C733" s="7" t="s">
        <v>11</v>
      </c>
      <c r="D733" s="6">
        <v>2025</v>
      </c>
      <c r="E733" s="6">
        <v>2026</v>
      </c>
      <c r="F733" s="8">
        <v>4181</v>
      </c>
    </row>
    <row r="734" spans="1:6" x14ac:dyDescent="0.4">
      <c r="A734" s="6">
        <f t="shared" si="28"/>
        <v>733</v>
      </c>
      <c r="B734" s="6" t="str">
        <f t="shared" si="27"/>
        <v>Policy733</v>
      </c>
      <c r="C734" s="7" t="s">
        <v>11</v>
      </c>
      <c r="D734" s="6">
        <v>2021</v>
      </c>
      <c r="E734" s="6">
        <v>2026</v>
      </c>
      <c r="F734" s="8">
        <v>1536</v>
      </c>
    </row>
    <row r="735" spans="1:6" x14ac:dyDescent="0.4">
      <c r="A735" s="6">
        <f t="shared" si="28"/>
        <v>734</v>
      </c>
      <c r="B735" s="6" t="str">
        <f t="shared" si="27"/>
        <v>Policy734</v>
      </c>
      <c r="C735" s="7" t="s">
        <v>11</v>
      </c>
      <c r="D735" s="6">
        <v>2022</v>
      </c>
      <c r="E735" s="6">
        <v>2024</v>
      </c>
      <c r="F735" s="8">
        <v>23446</v>
      </c>
    </row>
    <row r="736" spans="1:6" x14ac:dyDescent="0.4">
      <c r="A736" s="6">
        <f t="shared" si="28"/>
        <v>735</v>
      </c>
      <c r="B736" s="6" t="str">
        <f t="shared" si="27"/>
        <v>Policy735</v>
      </c>
      <c r="C736" s="7" t="s">
        <v>11</v>
      </c>
      <c r="D736" s="6">
        <v>2025</v>
      </c>
      <c r="E736" s="6">
        <v>2026</v>
      </c>
      <c r="F736" s="8">
        <v>48412</v>
      </c>
    </row>
    <row r="737" spans="1:6" x14ac:dyDescent="0.4">
      <c r="A737" s="6">
        <f t="shared" si="28"/>
        <v>736</v>
      </c>
      <c r="B737" s="6" t="str">
        <f t="shared" si="27"/>
        <v>Policy736</v>
      </c>
      <c r="C737" s="7" t="s">
        <v>12</v>
      </c>
      <c r="D737" s="6">
        <v>2021</v>
      </c>
      <c r="E737" s="6">
        <v>2024</v>
      </c>
      <c r="F737" s="8">
        <v>547522</v>
      </c>
    </row>
    <row r="738" spans="1:6" x14ac:dyDescent="0.4">
      <c r="A738" s="6">
        <f t="shared" si="28"/>
        <v>737</v>
      </c>
      <c r="B738" s="6" t="str">
        <f t="shared" si="27"/>
        <v>Policy737</v>
      </c>
      <c r="C738" s="7" t="s">
        <v>11</v>
      </c>
      <c r="D738" s="6">
        <v>2025</v>
      </c>
      <c r="E738" s="6">
        <v>2026</v>
      </c>
      <c r="F738" s="8">
        <v>37064</v>
      </c>
    </row>
    <row r="739" spans="1:6" x14ac:dyDescent="0.4">
      <c r="A739" s="6">
        <f t="shared" si="28"/>
        <v>738</v>
      </c>
      <c r="B739" s="6" t="str">
        <f t="shared" si="27"/>
        <v>Policy738</v>
      </c>
      <c r="C739" s="7" t="s">
        <v>12</v>
      </c>
      <c r="D739" s="6">
        <v>2025</v>
      </c>
      <c r="E739" s="6">
        <v>2026</v>
      </c>
      <c r="F739" s="8">
        <v>2796752</v>
      </c>
    </row>
    <row r="740" spans="1:6" x14ac:dyDescent="0.4">
      <c r="A740" s="6">
        <f t="shared" si="28"/>
        <v>739</v>
      </c>
      <c r="B740" s="6" t="str">
        <f t="shared" si="27"/>
        <v>Policy739</v>
      </c>
      <c r="C740" s="7" t="s">
        <v>11</v>
      </c>
      <c r="D740" s="6">
        <v>2025</v>
      </c>
      <c r="E740" s="6">
        <v>2026</v>
      </c>
      <c r="F740" s="8">
        <v>24835</v>
      </c>
    </row>
    <row r="741" spans="1:6" x14ac:dyDescent="0.4">
      <c r="A741" s="6">
        <f t="shared" si="28"/>
        <v>740</v>
      </c>
      <c r="B741" s="6" t="str">
        <f t="shared" si="27"/>
        <v>Policy740</v>
      </c>
      <c r="C741" s="7" t="s">
        <v>12</v>
      </c>
      <c r="D741" s="6">
        <v>2024</v>
      </c>
      <c r="E741" s="6">
        <v>2026</v>
      </c>
      <c r="F741" s="8">
        <v>2746273</v>
      </c>
    </row>
    <row r="742" spans="1:6" x14ac:dyDescent="0.4">
      <c r="A742" s="6">
        <f t="shared" si="28"/>
        <v>741</v>
      </c>
      <c r="B742" s="6" t="str">
        <f t="shared" si="27"/>
        <v>Policy741</v>
      </c>
      <c r="C742" s="7" t="s">
        <v>11</v>
      </c>
      <c r="D742" s="6">
        <v>2024</v>
      </c>
      <c r="E742" s="6">
        <v>2026</v>
      </c>
      <c r="F742" s="8">
        <v>48939</v>
      </c>
    </row>
    <row r="743" spans="1:6" x14ac:dyDescent="0.4">
      <c r="A743" s="6">
        <f t="shared" si="28"/>
        <v>742</v>
      </c>
      <c r="B743" s="6" t="str">
        <f t="shared" si="27"/>
        <v>Policy742</v>
      </c>
      <c r="C743" s="7" t="s">
        <v>11</v>
      </c>
      <c r="D743" s="6">
        <v>2023</v>
      </c>
      <c r="E743" s="6">
        <v>2025</v>
      </c>
      <c r="F743" s="8">
        <v>798</v>
      </c>
    </row>
    <row r="744" spans="1:6" x14ac:dyDescent="0.4">
      <c r="A744" s="6">
        <f t="shared" si="28"/>
        <v>743</v>
      </c>
      <c r="B744" s="6" t="str">
        <f t="shared" si="27"/>
        <v>Policy743</v>
      </c>
      <c r="C744" s="7" t="s">
        <v>12</v>
      </c>
      <c r="D744" s="6">
        <v>2024</v>
      </c>
      <c r="E744" s="6">
        <v>2026</v>
      </c>
      <c r="F744" s="8">
        <v>2378361</v>
      </c>
    </row>
    <row r="745" spans="1:6" x14ac:dyDescent="0.4">
      <c r="A745" s="6">
        <f t="shared" si="28"/>
        <v>744</v>
      </c>
      <c r="B745" s="6" t="str">
        <f t="shared" si="27"/>
        <v>Policy744</v>
      </c>
      <c r="C745" s="7" t="s">
        <v>11</v>
      </c>
      <c r="D745" s="6">
        <v>2024</v>
      </c>
      <c r="E745" s="6">
        <v>2025</v>
      </c>
      <c r="F745" s="8">
        <v>24720</v>
      </c>
    </row>
    <row r="746" spans="1:6" x14ac:dyDescent="0.4">
      <c r="A746" s="6">
        <f t="shared" si="28"/>
        <v>745</v>
      </c>
      <c r="B746" s="6" t="str">
        <f t="shared" si="27"/>
        <v>Policy745</v>
      </c>
      <c r="C746" s="7" t="s">
        <v>11</v>
      </c>
      <c r="D746" s="6">
        <v>2021</v>
      </c>
      <c r="E746" s="6">
        <v>2025</v>
      </c>
      <c r="F746" s="8">
        <v>32736</v>
      </c>
    </row>
    <row r="747" spans="1:6" x14ac:dyDescent="0.4">
      <c r="A747" s="6">
        <f t="shared" si="28"/>
        <v>746</v>
      </c>
      <c r="B747" s="6" t="str">
        <f t="shared" si="27"/>
        <v>Policy746</v>
      </c>
      <c r="C747" s="7" t="s">
        <v>12</v>
      </c>
      <c r="D747" s="6">
        <v>2025</v>
      </c>
      <c r="E747" s="6">
        <v>2026</v>
      </c>
      <c r="F747" s="8">
        <v>4105556</v>
      </c>
    </row>
    <row r="748" spans="1:6" x14ac:dyDescent="0.4">
      <c r="A748" s="6">
        <f t="shared" si="28"/>
        <v>747</v>
      </c>
      <c r="B748" s="6" t="str">
        <f t="shared" si="27"/>
        <v>Policy747</v>
      </c>
      <c r="C748" s="7" t="s">
        <v>12</v>
      </c>
      <c r="D748" s="6">
        <v>2022</v>
      </c>
      <c r="E748" s="6">
        <v>2025</v>
      </c>
      <c r="F748" s="8">
        <v>278627</v>
      </c>
    </row>
    <row r="749" spans="1:6" x14ac:dyDescent="0.4">
      <c r="A749" s="6">
        <f t="shared" si="28"/>
        <v>748</v>
      </c>
      <c r="B749" s="6" t="str">
        <f t="shared" si="27"/>
        <v>Policy748</v>
      </c>
      <c r="C749" s="7" t="s">
        <v>12</v>
      </c>
      <c r="D749" s="6">
        <v>2023</v>
      </c>
      <c r="E749" s="6">
        <v>2026</v>
      </c>
      <c r="F749" s="8">
        <v>921664</v>
      </c>
    </row>
    <row r="750" spans="1:6" x14ac:dyDescent="0.4">
      <c r="A750" s="6">
        <f t="shared" si="28"/>
        <v>749</v>
      </c>
      <c r="B750" s="6" t="str">
        <f t="shared" si="27"/>
        <v>Policy749</v>
      </c>
      <c r="C750" s="7" t="s">
        <v>12</v>
      </c>
      <c r="D750" s="6">
        <v>2023</v>
      </c>
      <c r="E750" s="6">
        <v>2025</v>
      </c>
      <c r="F750" s="8">
        <v>256039</v>
      </c>
    </row>
    <row r="751" spans="1:6" x14ac:dyDescent="0.4">
      <c r="A751" s="6">
        <f t="shared" si="28"/>
        <v>750</v>
      </c>
      <c r="B751" s="6" t="str">
        <f t="shared" si="27"/>
        <v>Policy750</v>
      </c>
      <c r="C751" s="7" t="s">
        <v>11</v>
      </c>
      <c r="D751" s="6">
        <v>2022</v>
      </c>
      <c r="E751" s="6">
        <v>2026</v>
      </c>
      <c r="F751" s="8">
        <v>31341</v>
      </c>
    </row>
    <row r="752" spans="1:6" x14ac:dyDescent="0.4">
      <c r="A752" s="6">
        <f t="shared" si="28"/>
        <v>751</v>
      </c>
      <c r="B752" s="6" t="str">
        <f t="shared" si="27"/>
        <v>Policy751</v>
      </c>
      <c r="C752" s="7" t="s">
        <v>11</v>
      </c>
      <c r="D752" s="6">
        <v>2023</v>
      </c>
      <c r="E752" s="6">
        <v>2024</v>
      </c>
      <c r="F752" s="8">
        <v>49045</v>
      </c>
    </row>
    <row r="753" spans="1:6" x14ac:dyDescent="0.4">
      <c r="A753" s="6">
        <f t="shared" si="28"/>
        <v>752</v>
      </c>
      <c r="B753" s="6" t="str">
        <f t="shared" si="27"/>
        <v>Policy752</v>
      </c>
      <c r="C753" s="7" t="s">
        <v>11</v>
      </c>
      <c r="D753" s="6">
        <v>2025</v>
      </c>
      <c r="E753" s="6">
        <v>2026</v>
      </c>
      <c r="F753" s="8">
        <v>49706</v>
      </c>
    </row>
    <row r="754" spans="1:6" x14ac:dyDescent="0.4">
      <c r="A754" s="6">
        <f t="shared" si="28"/>
        <v>753</v>
      </c>
      <c r="B754" s="6" t="str">
        <f t="shared" si="27"/>
        <v>Policy753</v>
      </c>
      <c r="C754" s="7" t="s">
        <v>12</v>
      </c>
      <c r="D754" s="6">
        <v>2023</v>
      </c>
      <c r="E754" s="6">
        <v>2025</v>
      </c>
      <c r="F754" s="8">
        <v>2606303</v>
      </c>
    </row>
    <row r="755" spans="1:6" x14ac:dyDescent="0.4">
      <c r="A755" s="6">
        <f t="shared" si="28"/>
        <v>754</v>
      </c>
      <c r="B755" s="6" t="str">
        <f t="shared" si="27"/>
        <v>Policy754</v>
      </c>
      <c r="C755" s="7" t="s">
        <v>11</v>
      </c>
      <c r="D755" s="6">
        <v>2024</v>
      </c>
      <c r="E755" s="6">
        <v>2025</v>
      </c>
      <c r="F755" s="8">
        <v>47829</v>
      </c>
    </row>
    <row r="756" spans="1:6" x14ac:dyDescent="0.4">
      <c r="A756" s="6">
        <f t="shared" si="28"/>
        <v>755</v>
      </c>
      <c r="B756" s="6" t="str">
        <f t="shared" si="27"/>
        <v>Policy755</v>
      </c>
      <c r="C756" s="7" t="s">
        <v>12</v>
      </c>
      <c r="D756" s="6">
        <v>2021</v>
      </c>
      <c r="E756" s="6">
        <v>2023</v>
      </c>
      <c r="F756" s="8">
        <v>2311377</v>
      </c>
    </row>
    <row r="757" spans="1:6" x14ac:dyDescent="0.4">
      <c r="A757" s="6">
        <f t="shared" si="28"/>
        <v>756</v>
      </c>
      <c r="B757" s="6" t="str">
        <f t="shared" si="27"/>
        <v>Policy756</v>
      </c>
      <c r="C757" s="7" t="s">
        <v>11</v>
      </c>
      <c r="D757" s="6">
        <v>2022</v>
      </c>
      <c r="E757" s="6">
        <v>2025</v>
      </c>
      <c r="F757" s="8">
        <v>5719</v>
      </c>
    </row>
    <row r="758" spans="1:6" x14ac:dyDescent="0.4">
      <c r="A758" s="6">
        <f t="shared" si="28"/>
        <v>757</v>
      </c>
      <c r="B758" s="6" t="str">
        <f t="shared" si="27"/>
        <v>Policy757</v>
      </c>
      <c r="C758" s="7" t="s">
        <v>12</v>
      </c>
      <c r="D758" s="6">
        <v>2023</v>
      </c>
      <c r="E758" s="6">
        <v>2024</v>
      </c>
      <c r="F758" s="8">
        <v>204053</v>
      </c>
    </row>
    <row r="759" spans="1:6" x14ac:dyDescent="0.4">
      <c r="A759" s="6">
        <f t="shared" si="28"/>
        <v>758</v>
      </c>
      <c r="B759" s="6" t="str">
        <f t="shared" si="27"/>
        <v>Policy758</v>
      </c>
      <c r="C759" s="7" t="s">
        <v>11</v>
      </c>
      <c r="D759" s="6">
        <v>2024</v>
      </c>
      <c r="E759" s="6">
        <v>2025</v>
      </c>
      <c r="F759" s="8">
        <v>21297</v>
      </c>
    </row>
    <row r="760" spans="1:6" x14ac:dyDescent="0.4">
      <c r="A760" s="6">
        <f t="shared" si="28"/>
        <v>759</v>
      </c>
      <c r="B760" s="6" t="str">
        <f t="shared" si="27"/>
        <v>Policy759</v>
      </c>
      <c r="C760" s="7" t="s">
        <v>11</v>
      </c>
      <c r="D760" s="6">
        <v>2024</v>
      </c>
      <c r="E760" s="6">
        <v>2026</v>
      </c>
      <c r="F760" s="8">
        <v>12701</v>
      </c>
    </row>
    <row r="761" spans="1:6" x14ac:dyDescent="0.4">
      <c r="A761" s="6">
        <f t="shared" si="28"/>
        <v>760</v>
      </c>
      <c r="B761" s="6" t="str">
        <f t="shared" si="27"/>
        <v>Policy760</v>
      </c>
      <c r="C761" s="7" t="s">
        <v>11</v>
      </c>
      <c r="D761" s="6">
        <v>2021</v>
      </c>
      <c r="E761" s="6">
        <v>2022</v>
      </c>
      <c r="F761" s="8">
        <v>3258</v>
      </c>
    </row>
    <row r="762" spans="1:6" x14ac:dyDescent="0.4">
      <c r="A762" s="6">
        <f t="shared" si="28"/>
        <v>761</v>
      </c>
      <c r="B762" s="6" t="str">
        <f t="shared" si="27"/>
        <v>Policy761</v>
      </c>
      <c r="C762" s="7" t="s">
        <v>12</v>
      </c>
      <c r="D762" s="6">
        <v>2022</v>
      </c>
      <c r="E762" s="6">
        <v>2024</v>
      </c>
      <c r="F762" s="8">
        <v>823494</v>
      </c>
    </row>
    <row r="763" spans="1:6" x14ac:dyDescent="0.4">
      <c r="A763" s="6">
        <f t="shared" si="28"/>
        <v>762</v>
      </c>
      <c r="B763" s="6" t="str">
        <f t="shared" si="27"/>
        <v>Policy762</v>
      </c>
      <c r="C763" s="7" t="s">
        <v>12</v>
      </c>
      <c r="D763" s="6">
        <v>2023</v>
      </c>
      <c r="E763" s="6">
        <v>2024</v>
      </c>
      <c r="F763" s="8">
        <v>3279289</v>
      </c>
    </row>
    <row r="764" spans="1:6" x14ac:dyDescent="0.4">
      <c r="A764" s="6">
        <f t="shared" si="28"/>
        <v>763</v>
      </c>
      <c r="B764" s="6" t="str">
        <f t="shared" si="27"/>
        <v>Policy763</v>
      </c>
      <c r="C764" s="7" t="s">
        <v>11</v>
      </c>
      <c r="D764" s="6">
        <v>2025</v>
      </c>
      <c r="E764" s="6">
        <v>2026</v>
      </c>
      <c r="F764" s="8">
        <v>35407</v>
      </c>
    </row>
    <row r="765" spans="1:6" x14ac:dyDescent="0.4">
      <c r="A765" s="6">
        <f t="shared" si="28"/>
        <v>764</v>
      </c>
      <c r="B765" s="6" t="str">
        <f t="shared" si="27"/>
        <v>Policy764</v>
      </c>
      <c r="C765" s="7" t="s">
        <v>12</v>
      </c>
      <c r="D765" s="6">
        <v>2024</v>
      </c>
      <c r="E765" s="6">
        <v>2026</v>
      </c>
      <c r="F765" s="8">
        <v>469853</v>
      </c>
    </row>
    <row r="766" spans="1:6" x14ac:dyDescent="0.4">
      <c r="A766" s="6">
        <f t="shared" si="28"/>
        <v>765</v>
      </c>
      <c r="B766" s="6" t="str">
        <f t="shared" si="27"/>
        <v>Policy765</v>
      </c>
      <c r="C766" s="7" t="s">
        <v>12</v>
      </c>
      <c r="D766" s="6">
        <v>2021</v>
      </c>
      <c r="E766" s="6">
        <v>2023</v>
      </c>
      <c r="F766" s="8">
        <v>443220</v>
      </c>
    </row>
    <row r="767" spans="1:6" x14ac:dyDescent="0.4">
      <c r="A767" s="6">
        <f t="shared" si="28"/>
        <v>766</v>
      </c>
      <c r="B767" s="6" t="str">
        <f t="shared" si="27"/>
        <v>Policy766</v>
      </c>
      <c r="C767" s="7" t="s">
        <v>11</v>
      </c>
      <c r="D767" s="6">
        <v>2023</v>
      </c>
      <c r="E767" s="6">
        <v>2025</v>
      </c>
      <c r="F767" s="8">
        <v>32404</v>
      </c>
    </row>
    <row r="768" spans="1:6" x14ac:dyDescent="0.4">
      <c r="A768" s="6">
        <f t="shared" si="28"/>
        <v>767</v>
      </c>
      <c r="B768" s="6" t="str">
        <f t="shared" si="27"/>
        <v>Policy767</v>
      </c>
      <c r="C768" s="7" t="s">
        <v>11</v>
      </c>
      <c r="D768" s="6">
        <v>2021</v>
      </c>
      <c r="E768" s="6">
        <v>2022</v>
      </c>
      <c r="F768" s="8">
        <v>13562</v>
      </c>
    </row>
    <row r="769" spans="1:6" x14ac:dyDescent="0.4">
      <c r="A769" s="6">
        <f t="shared" si="28"/>
        <v>768</v>
      </c>
      <c r="B769" s="6" t="str">
        <f t="shared" si="27"/>
        <v>Policy768</v>
      </c>
      <c r="C769" s="7" t="s">
        <v>12</v>
      </c>
      <c r="D769" s="6">
        <v>2023</v>
      </c>
      <c r="E769" s="6">
        <v>2026</v>
      </c>
      <c r="F769" s="8">
        <v>1846111</v>
      </c>
    </row>
    <row r="770" spans="1:6" x14ac:dyDescent="0.4">
      <c r="A770" s="6">
        <f t="shared" si="28"/>
        <v>769</v>
      </c>
      <c r="B770" s="6" t="str">
        <f t="shared" si="27"/>
        <v>Policy769</v>
      </c>
      <c r="C770" s="7" t="s">
        <v>11</v>
      </c>
      <c r="D770" s="6">
        <v>2021</v>
      </c>
      <c r="E770" s="6">
        <v>2024</v>
      </c>
      <c r="F770" s="8">
        <v>5945</v>
      </c>
    </row>
    <row r="771" spans="1:6" x14ac:dyDescent="0.4">
      <c r="A771" s="6">
        <f t="shared" si="28"/>
        <v>770</v>
      </c>
      <c r="B771" s="6" t="str">
        <f t="shared" ref="B771:B834" si="29">"Policy"&amp;A771</f>
        <v>Policy770</v>
      </c>
      <c r="C771" s="7" t="s">
        <v>11</v>
      </c>
      <c r="D771" s="6">
        <v>2022</v>
      </c>
      <c r="E771" s="6">
        <v>2026</v>
      </c>
      <c r="F771" s="8">
        <v>29640</v>
      </c>
    </row>
    <row r="772" spans="1:6" x14ac:dyDescent="0.4">
      <c r="A772" s="6">
        <f t="shared" ref="A772:A835" si="30">A771+1</f>
        <v>771</v>
      </c>
      <c r="B772" s="6" t="str">
        <f t="shared" si="29"/>
        <v>Policy771</v>
      </c>
      <c r="C772" s="7" t="s">
        <v>12</v>
      </c>
      <c r="D772" s="6">
        <v>2021</v>
      </c>
      <c r="E772" s="6">
        <v>2022</v>
      </c>
      <c r="F772" s="8">
        <v>1460962</v>
      </c>
    </row>
    <row r="773" spans="1:6" x14ac:dyDescent="0.4">
      <c r="A773" s="6">
        <f t="shared" si="30"/>
        <v>772</v>
      </c>
      <c r="B773" s="6" t="str">
        <f t="shared" si="29"/>
        <v>Policy772</v>
      </c>
      <c r="C773" s="7" t="s">
        <v>11</v>
      </c>
      <c r="D773" s="6">
        <v>2022</v>
      </c>
      <c r="E773" s="6">
        <v>2023</v>
      </c>
      <c r="F773" s="8">
        <v>12187</v>
      </c>
    </row>
    <row r="774" spans="1:6" x14ac:dyDescent="0.4">
      <c r="A774" s="6">
        <f t="shared" si="30"/>
        <v>773</v>
      </c>
      <c r="B774" s="6" t="str">
        <f t="shared" si="29"/>
        <v>Policy773</v>
      </c>
      <c r="C774" s="7" t="s">
        <v>12</v>
      </c>
      <c r="D774" s="6">
        <v>2025</v>
      </c>
      <c r="E774" s="6">
        <v>2026</v>
      </c>
      <c r="F774" s="8">
        <v>4323339</v>
      </c>
    </row>
    <row r="775" spans="1:6" x14ac:dyDescent="0.4">
      <c r="A775" s="6">
        <f t="shared" si="30"/>
        <v>774</v>
      </c>
      <c r="B775" s="6" t="str">
        <f t="shared" si="29"/>
        <v>Policy774</v>
      </c>
      <c r="C775" s="7" t="s">
        <v>11</v>
      </c>
      <c r="D775" s="6">
        <v>2021</v>
      </c>
      <c r="E775" s="6">
        <v>2022</v>
      </c>
      <c r="F775" s="8">
        <v>969</v>
      </c>
    </row>
    <row r="776" spans="1:6" x14ac:dyDescent="0.4">
      <c r="A776" s="6">
        <f t="shared" si="30"/>
        <v>775</v>
      </c>
      <c r="B776" s="6" t="str">
        <f t="shared" si="29"/>
        <v>Policy775</v>
      </c>
      <c r="C776" s="7" t="s">
        <v>12</v>
      </c>
      <c r="D776" s="6">
        <v>2023</v>
      </c>
      <c r="E776" s="6">
        <v>2024</v>
      </c>
      <c r="F776" s="8">
        <v>4855636</v>
      </c>
    </row>
    <row r="777" spans="1:6" x14ac:dyDescent="0.4">
      <c r="A777" s="6">
        <f t="shared" si="30"/>
        <v>776</v>
      </c>
      <c r="B777" s="6" t="str">
        <f t="shared" si="29"/>
        <v>Policy776</v>
      </c>
      <c r="C777" s="7" t="s">
        <v>11</v>
      </c>
      <c r="D777" s="6">
        <v>2022</v>
      </c>
      <c r="E777" s="6">
        <v>2026</v>
      </c>
      <c r="F777" s="8">
        <v>11795</v>
      </c>
    </row>
    <row r="778" spans="1:6" x14ac:dyDescent="0.4">
      <c r="A778" s="6">
        <f t="shared" si="30"/>
        <v>777</v>
      </c>
      <c r="B778" s="6" t="str">
        <f t="shared" si="29"/>
        <v>Policy777</v>
      </c>
      <c r="C778" s="7" t="s">
        <v>11</v>
      </c>
      <c r="D778" s="6">
        <v>2024</v>
      </c>
      <c r="E778" s="6">
        <v>2026</v>
      </c>
      <c r="F778" s="8">
        <v>36084</v>
      </c>
    </row>
    <row r="779" spans="1:6" x14ac:dyDescent="0.4">
      <c r="A779" s="6">
        <f t="shared" si="30"/>
        <v>778</v>
      </c>
      <c r="B779" s="6" t="str">
        <f t="shared" si="29"/>
        <v>Policy778</v>
      </c>
      <c r="C779" s="7" t="s">
        <v>11</v>
      </c>
      <c r="D779" s="6">
        <v>2023</v>
      </c>
      <c r="E779" s="6">
        <v>2026</v>
      </c>
      <c r="F779" s="8">
        <v>37541</v>
      </c>
    </row>
    <row r="780" spans="1:6" x14ac:dyDescent="0.4">
      <c r="A780" s="6">
        <f t="shared" si="30"/>
        <v>779</v>
      </c>
      <c r="B780" s="6" t="str">
        <f t="shared" si="29"/>
        <v>Policy779</v>
      </c>
      <c r="C780" s="7" t="s">
        <v>11</v>
      </c>
      <c r="D780" s="6">
        <v>2024</v>
      </c>
      <c r="E780" s="6">
        <v>2026</v>
      </c>
      <c r="F780" s="8">
        <v>12076</v>
      </c>
    </row>
    <row r="781" spans="1:6" x14ac:dyDescent="0.4">
      <c r="A781" s="6">
        <f t="shared" si="30"/>
        <v>780</v>
      </c>
      <c r="B781" s="6" t="str">
        <f t="shared" si="29"/>
        <v>Policy780</v>
      </c>
      <c r="C781" s="7" t="s">
        <v>11</v>
      </c>
      <c r="D781" s="6">
        <v>2023</v>
      </c>
      <c r="E781" s="6">
        <v>2025</v>
      </c>
      <c r="F781" s="8">
        <v>29984</v>
      </c>
    </row>
    <row r="782" spans="1:6" x14ac:dyDescent="0.4">
      <c r="A782" s="6">
        <f t="shared" si="30"/>
        <v>781</v>
      </c>
      <c r="B782" s="6" t="str">
        <f t="shared" si="29"/>
        <v>Policy781</v>
      </c>
      <c r="C782" s="7" t="s">
        <v>12</v>
      </c>
      <c r="D782" s="6">
        <v>2023</v>
      </c>
      <c r="E782" s="6">
        <v>2025</v>
      </c>
      <c r="F782" s="8">
        <v>1081529</v>
      </c>
    </row>
    <row r="783" spans="1:6" x14ac:dyDescent="0.4">
      <c r="A783" s="6">
        <f t="shared" si="30"/>
        <v>782</v>
      </c>
      <c r="B783" s="6" t="str">
        <f t="shared" si="29"/>
        <v>Policy782</v>
      </c>
      <c r="C783" s="7" t="s">
        <v>12</v>
      </c>
      <c r="D783" s="6">
        <v>2025</v>
      </c>
      <c r="E783" s="6">
        <v>2026</v>
      </c>
      <c r="F783" s="8">
        <v>3365984</v>
      </c>
    </row>
    <row r="784" spans="1:6" x14ac:dyDescent="0.4">
      <c r="A784" s="6">
        <f t="shared" si="30"/>
        <v>783</v>
      </c>
      <c r="B784" s="6" t="str">
        <f t="shared" si="29"/>
        <v>Policy783</v>
      </c>
      <c r="C784" s="7" t="s">
        <v>11</v>
      </c>
      <c r="D784" s="6">
        <v>2024</v>
      </c>
      <c r="E784" s="6">
        <v>2026</v>
      </c>
      <c r="F784" s="8">
        <v>37567</v>
      </c>
    </row>
    <row r="785" spans="1:6" x14ac:dyDescent="0.4">
      <c r="A785" s="6">
        <f t="shared" si="30"/>
        <v>784</v>
      </c>
      <c r="B785" s="6" t="str">
        <f t="shared" si="29"/>
        <v>Policy784</v>
      </c>
      <c r="C785" s="7" t="s">
        <v>11</v>
      </c>
      <c r="D785" s="6">
        <v>2022</v>
      </c>
      <c r="E785" s="6">
        <v>2025</v>
      </c>
      <c r="F785" s="8">
        <v>17843</v>
      </c>
    </row>
    <row r="786" spans="1:6" x14ac:dyDescent="0.4">
      <c r="A786" s="6">
        <f t="shared" si="30"/>
        <v>785</v>
      </c>
      <c r="B786" s="6" t="str">
        <f t="shared" si="29"/>
        <v>Policy785</v>
      </c>
      <c r="C786" s="7" t="s">
        <v>12</v>
      </c>
      <c r="D786" s="6">
        <v>2023</v>
      </c>
      <c r="E786" s="6">
        <v>2026</v>
      </c>
      <c r="F786" s="8">
        <v>1278762</v>
      </c>
    </row>
    <row r="787" spans="1:6" x14ac:dyDescent="0.4">
      <c r="A787" s="6">
        <f t="shared" si="30"/>
        <v>786</v>
      </c>
      <c r="B787" s="6" t="str">
        <f t="shared" si="29"/>
        <v>Policy786</v>
      </c>
      <c r="C787" s="7" t="s">
        <v>11</v>
      </c>
      <c r="D787" s="6">
        <v>2021</v>
      </c>
      <c r="E787" s="6">
        <v>2024</v>
      </c>
      <c r="F787" s="8">
        <v>1431</v>
      </c>
    </row>
    <row r="788" spans="1:6" x14ac:dyDescent="0.4">
      <c r="A788" s="6">
        <f t="shared" si="30"/>
        <v>787</v>
      </c>
      <c r="B788" s="6" t="str">
        <f t="shared" si="29"/>
        <v>Policy787</v>
      </c>
      <c r="C788" s="7" t="s">
        <v>12</v>
      </c>
      <c r="D788" s="6">
        <v>2021</v>
      </c>
      <c r="E788" s="6">
        <v>2023</v>
      </c>
      <c r="F788" s="8">
        <v>686121</v>
      </c>
    </row>
    <row r="789" spans="1:6" x14ac:dyDescent="0.4">
      <c r="A789" s="6">
        <f t="shared" si="30"/>
        <v>788</v>
      </c>
      <c r="B789" s="6" t="str">
        <f t="shared" si="29"/>
        <v>Policy788</v>
      </c>
      <c r="C789" s="7" t="s">
        <v>11</v>
      </c>
      <c r="D789" s="6">
        <v>2024</v>
      </c>
      <c r="E789" s="6">
        <v>2025</v>
      </c>
      <c r="F789" s="8">
        <v>14137</v>
      </c>
    </row>
    <row r="790" spans="1:6" x14ac:dyDescent="0.4">
      <c r="A790" s="6">
        <f t="shared" si="30"/>
        <v>789</v>
      </c>
      <c r="B790" s="6" t="str">
        <f t="shared" si="29"/>
        <v>Policy789</v>
      </c>
      <c r="C790" s="7" t="s">
        <v>12</v>
      </c>
      <c r="D790" s="6">
        <v>2025</v>
      </c>
      <c r="E790" s="6">
        <v>2026</v>
      </c>
      <c r="F790" s="8">
        <v>561060</v>
      </c>
    </row>
    <row r="791" spans="1:6" x14ac:dyDescent="0.4">
      <c r="A791" s="6">
        <f t="shared" si="30"/>
        <v>790</v>
      </c>
      <c r="B791" s="6" t="str">
        <f t="shared" si="29"/>
        <v>Policy790</v>
      </c>
      <c r="C791" s="7" t="s">
        <v>11</v>
      </c>
      <c r="D791" s="6">
        <v>2023</v>
      </c>
      <c r="E791" s="6">
        <v>2024</v>
      </c>
      <c r="F791" s="8">
        <v>5751</v>
      </c>
    </row>
    <row r="792" spans="1:6" x14ac:dyDescent="0.4">
      <c r="A792" s="6">
        <f t="shared" si="30"/>
        <v>791</v>
      </c>
      <c r="B792" s="6" t="str">
        <f t="shared" si="29"/>
        <v>Policy791</v>
      </c>
      <c r="C792" s="7" t="s">
        <v>12</v>
      </c>
      <c r="D792" s="6">
        <v>2023</v>
      </c>
      <c r="E792" s="6">
        <v>2024</v>
      </c>
      <c r="F792" s="8">
        <v>847401</v>
      </c>
    </row>
    <row r="793" spans="1:6" x14ac:dyDescent="0.4">
      <c r="A793" s="6">
        <f t="shared" si="30"/>
        <v>792</v>
      </c>
      <c r="B793" s="6" t="str">
        <f t="shared" si="29"/>
        <v>Policy792</v>
      </c>
      <c r="C793" s="7" t="s">
        <v>12</v>
      </c>
      <c r="D793" s="6">
        <v>2023</v>
      </c>
      <c r="E793" s="6">
        <v>2025</v>
      </c>
      <c r="F793" s="8">
        <v>1005409</v>
      </c>
    </row>
    <row r="794" spans="1:6" x14ac:dyDescent="0.4">
      <c r="A794" s="6">
        <f t="shared" si="30"/>
        <v>793</v>
      </c>
      <c r="B794" s="6" t="str">
        <f t="shared" si="29"/>
        <v>Policy793</v>
      </c>
      <c r="C794" s="7" t="s">
        <v>11</v>
      </c>
      <c r="D794" s="6">
        <v>2025</v>
      </c>
      <c r="E794" s="6">
        <v>2026</v>
      </c>
      <c r="F794" s="8">
        <v>46445</v>
      </c>
    </row>
    <row r="795" spans="1:6" x14ac:dyDescent="0.4">
      <c r="A795" s="6">
        <f t="shared" si="30"/>
        <v>794</v>
      </c>
      <c r="B795" s="6" t="str">
        <f t="shared" si="29"/>
        <v>Policy794</v>
      </c>
      <c r="C795" s="7" t="s">
        <v>11</v>
      </c>
      <c r="D795" s="6">
        <v>2024</v>
      </c>
      <c r="E795" s="6">
        <v>2026</v>
      </c>
      <c r="F795" s="8">
        <v>34409</v>
      </c>
    </row>
    <row r="796" spans="1:6" x14ac:dyDescent="0.4">
      <c r="A796" s="6">
        <f t="shared" si="30"/>
        <v>795</v>
      </c>
      <c r="B796" s="6" t="str">
        <f t="shared" si="29"/>
        <v>Policy795</v>
      </c>
      <c r="C796" s="7" t="s">
        <v>12</v>
      </c>
      <c r="D796" s="6">
        <v>2021</v>
      </c>
      <c r="E796" s="6">
        <v>2025</v>
      </c>
      <c r="F796" s="8">
        <v>3746127</v>
      </c>
    </row>
    <row r="797" spans="1:6" x14ac:dyDescent="0.4">
      <c r="A797" s="6">
        <f t="shared" si="30"/>
        <v>796</v>
      </c>
      <c r="B797" s="6" t="str">
        <f t="shared" si="29"/>
        <v>Policy796</v>
      </c>
      <c r="C797" s="7" t="s">
        <v>11</v>
      </c>
      <c r="D797" s="6">
        <v>2021</v>
      </c>
      <c r="E797" s="6">
        <v>2026</v>
      </c>
      <c r="F797" s="8">
        <v>43502</v>
      </c>
    </row>
    <row r="798" spans="1:6" x14ac:dyDescent="0.4">
      <c r="A798" s="6">
        <f t="shared" si="30"/>
        <v>797</v>
      </c>
      <c r="B798" s="6" t="str">
        <f t="shared" si="29"/>
        <v>Policy797</v>
      </c>
      <c r="C798" s="7" t="s">
        <v>12</v>
      </c>
      <c r="D798" s="6">
        <v>2024</v>
      </c>
      <c r="E798" s="6">
        <v>2026</v>
      </c>
      <c r="F798" s="8">
        <v>2726075</v>
      </c>
    </row>
    <row r="799" spans="1:6" x14ac:dyDescent="0.4">
      <c r="A799" s="6">
        <f t="shared" si="30"/>
        <v>798</v>
      </c>
      <c r="B799" s="6" t="str">
        <f t="shared" si="29"/>
        <v>Policy798</v>
      </c>
      <c r="C799" s="7" t="s">
        <v>12</v>
      </c>
      <c r="D799" s="6">
        <v>2022</v>
      </c>
      <c r="E799" s="6">
        <v>2024</v>
      </c>
      <c r="F799" s="8">
        <v>4450409</v>
      </c>
    </row>
    <row r="800" spans="1:6" x14ac:dyDescent="0.4">
      <c r="A800" s="6">
        <f t="shared" si="30"/>
        <v>799</v>
      </c>
      <c r="B800" s="6" t="str">
        <f t="shared" si="29"/>
        <v>Policy799</v>
      </c>
      <c r="C800" s="7" t="s">
        <v>12</v>
      </c>
      <c r="D800" s="6">
        <v>2021</v>
      </c>
      <c r="E800" s="6">
        <v>2022</v>
      </c>
      <c r="F800" s="8">
        <v>1857023</v>
      </c>
    </row>
    <row r="801" spans="1:6" x14ac:dyDescent="0.4">
      <c r="A801" s="6">
        <f t="shared" si="30"/>
        <v>800</v>
      </c>
      <c r="B801" s="6" t="str">
        <f t="shared" si="29"/>
        <v>Policy800</v>
      </c>
      <c r="C801" s="7" t="s">
        <v>12</v>
      </c>
      <c r="D801" s="6">
        <v>2023</v>
      </c>
      <c r="E801" s="6">
        <v>2025</v>
      </c>
      <c r="F801" s="8">
        <v>2562557</v>
      </c>
    </row>
    <row r="802" spans="1:6" x14ac:dyDescent="0.4">
      <c r="A802" s="6">
        <f t="shared" si="30"/>
        <v>801</v>
      </c>
      <c r="B802" s="6" t="str">
        <f t="shared" si="29"/>
        <v>Policy801</v>
      </c>
      <c r="C802" s="7" t="s">
        <v>12</v>
      </c>
      <c r="D802" s="6">
        <v>2021</v>
      </c>
      <c r="E802" s="6">
        <v>2023</v>
      </c>
      <c r="F802" s="8">
        <v>4494305</v>
      </c>
    </row>
    <row r="803" spans="1:6" x14ac:dyDescent="0.4">
      <c r="A803" s="6">
        <f t="shared" si="30"/>
        <v>802</v>
      </c>
      <c r="B803" s="6" t="str">
        <f t="shared" si="29"/>
        <v>Policy802</v>
      </c>
      <c r="C803" s="7" t="s">
        <v>12</v>
      </c>
      <c r="D803" s="6">
        <v>2021</v>
      </c>
      <c r="E803" s="6">
        <v>2023</v>
      </c>
      <c r="F803" s="8">
        <v>4083353</v>
      </c>
    </row>
    <row r="804" spans="1:6" x14ac:dyDescent="0.4">
      <c r="A804" s="6">
        <f t="shared" si="30"/>
        <v>803</v>
      </c>
      <c r="B804" s="6" t="str">
        <f t="shared" si="29"/>
        <v>Policy803</v>
      </c>
      <c r="C804" s="7" t="s">
        <v>12</v>
      </c>
      <c r="D804" s="6">
        <v>2023</v>
      </c>
      <c r="E804" s="6">
        <v>2025</v>
      </c>
      <c r="F804" s="8">
        <v>3932779</v>
      </c>
    </row>
    <row r="805" spans="1:6" x14ac:dyDescent="0.4">
      <c r="A805" s="6">
        <f t="shared" si="30"/>
        <v>804</v>
      </c>
      <c r="B805" s="6" t="str">
        <f t="shared" si="29"/>
        <v>Policy804</v>
      </c>
      <c r="C805" s="7" t="s">
        <v>11</v>
      </c>
      <c r="D805" s="6">
        <v>2023</v>
      </c>
      <c r="E805" s="6">
        <v>2024</v>
      </c>
      <c r="F805" s="8">
        <v>18560</v>
      </c>
    </row>
    <row r="806" spans="1:6" x14ac:dyDescent="0.4">
      <c r="A806" s="6">
        <f t="shared" si="30"/>
        <v>805</v>
      </c>
      <c r="B806" s="6" t="str">
        <f t="shared" si="29"/>
        <v>Policy805</v>
      </c>
      <c r="C806" s="7" t="s">
        <v>12</v>
      </c>
      <c r="D806" s="6">
        <v>2022</v>
      </c>
      <c r="E806" s="6">
        <v>2024</v>
      </c>
      <c r="F806" s="8">
        <v>1411526</v>
      </c>
    </row>
    <row r="807" spans="1:6" x14ac:dyDescent="0.4">
      <c r="A807" s="6">
        <f t="shared" si="30"/>
        <v>806</v>
      </c>
      <c r="B807" s="6" t="str">
        <f t="shared" si="29"/>
        <v>Policy806</v>
      </c>
      <c r="C807" s="7" t="s">
        <v>11</v>
      </c>
      <c r="D807" s="6">
        <v>2024</v>
      </c>
      <c r="E807" s="6">
        <v>2026</v>
      </c>
      <c r="F807" s="8">
        <v>42289</v>
      </c>
    </row>
    <row r="808" spans="1:6" x14ac:dyDescent="0.4">
      <c r="A808" s="6">
        <f t="shared" si="30"/>
        <v>807</v>
      </c>
      <c r="B808" s="6" t="str">
        <f t="shared" si="29"/>
        <v>Policy807</v>
      </c>
      <c r="C808" s="7" t="s">
        <v>11</v>
      </c>
      <c r="D808" s="6">
        <v>2024</v>
      </c>
      <c r="E808" s="6">
        <v>2025</v>
      </c>
      <c r="F808" s="8">
        <v>29341</v>
      </c>
    </row>
    <row r="809" spans="1:6" x14ac:dyDescent="0.4">
      <c r="A809" s="6">
        <f t="shared" si="30"/>
        <v>808</v>
      </c>
      <c r="B809" s="6" t="str">
        <f t="shared" si="29"/>
        <v>Policy808</v>
      </c>
      <c r="C809" s="7" t="s">
        <v>12</v>
      </c>
      <c r="D809" s="6">
        <v>2025</v>
      </c>
      <c r="E809" s="6">
        <v>2026</v>
      </c>
      <c r="F809" s="8">
        <v>4026621</v>
      </c>
    </row>
    <row r="810" spans="1:6" x14ac:dyDescent="0.4">
      <c r="A810" s="6">
        <f t="shared" si="30"/>
        <v>809</v>
      </c>
      <c r="B810" s="6" t="str">
        <f t="shared" si="29"/>
        <v>Policy809</v>
      </c>
      <c r="C810" s="7" t="s">
        <v>12</v>
      </c>
      <c r="D810" s="6">
        <v>2024</v>
      </c>
      <c r="E810" s="6">
        <v>2026</v>
      </c>
      <c r="F810" s="8">
        <v>3627389</v>
      </c>
    </row>
    <row r="811" spans="1:6" x14ac:dyDescent="0.4">
      <c r="A811" s="6">
        <f t="shared" si="30"/>
        <v>810</v>
      </c>
      <c r="B811" s="6" t="str">
        <f t="shared" si="29"/>
        <v>Policy810</v>
      </c>
      <c r="C811" s="7" t="s">
        <v>12</v>
      </c>
      <c r="D811" s="6">
        <v>2021</v>
      </c>
      <c r="E811" s="6">
        <v>2023</v>
      </c>
      <c r="F811" s="8">
        <v>3100090</v>
      </c>
    </row>
    <row r="812" spans="1:6" x14ac:dyDescent="0.4">
      <c r="A812" s="6">
        <f t="shared" si="30"/>
        <v>811</v>
      </c>
      <c r="B812" s="6" t="str">
        <f t="shared" si="29"/>
        <v>Policy811</v>
      </c>
      <c r="C812" s="7" t="s">
        <v>12</v>
      </c>
      <c r="D812" s="6">
        <v>2022</v>
      </c>
      <c r="E812" s="6">
        <v>2025</v>
      </c>
      <c r="F812" s="8">
        <v>216207</v>
      </c>
    </row>
    <row r="813" spans="1:6" x14ac:dyDescent="0.4">
      <c r="A813" s="6">
        <f t="shared" si="30"/>
        <v>812</v>
      </c>
      <c r="B813" s="6" t="str">
        <f t="shared" si="29"/>
        <v>Policy812</v>
      </c>
      <c r="C813" s="7" t="s">
        <v>12</v>
      </c>
      <c r="D813" s="6">
        <v>2022</v>
      </c>
      <c r="E813" s="6">
        <v>2026</v>
      </c>
      <c r="F813" s="8">
        <v>2748094</v>
      </c>
    </row>
    <row r="814" spans="1:6" x14ac:dyDescent="0.4">
      <c r="A814" s="6">
        <f t="shared" si="30"/>
        <v>813</v>
      </c>
      <c r="B814" s="6" t="str">
        <f t="shared" si="29"/>
        <v>Policy813</v>
      </c>
      <c r="C814" s="7" t="s">
        <v>11</v>
      </c>
      <c r="D814" s="6">
        <v>2022</v>
      </c>
      <c r="E814" s="6">
        <v>2025</v>
      </c>
      <c r="F814" s="8">
        <v>40822</v>
      </c>
    </row>
    <row r="815" spans="1:6" x14ac:dyDescent="0.4">
      <c r="A815" s="6">
        <f t="shared" si="30"/>
        <v>814</v>
      </c>
      <c r="B815" s="6" t="str">
        <f t="shared" si="29"/>
        <v>Policy814</v>
      </c>
      <c r="C815" s="7" t="s">
        <v>12</v>
      </c>
      <c r="D815" s="6">
        <v>2023</v>
      </c>
      <c r="E815" s="6">
        <v>2024</v>
      </c>
      <c r="F815" s="8">
        <v>3788888</v>
      </c>
    </row>
    <row r="816" spans="1:6" x14ac:dyDescent="0.4">
      <c r="A816" s="6">
        <f t="shared" si="30"/>
        <v>815</v>
      </c>
      <c r="B816" s="6" t="str">
        <f t="shared" si="29"/>
        <v>Policy815</v>
      </c>
      <c r="C816" s="7" t="s">
        <v>12</v>
      </c>
      <c r="D816" s="6">
        <v>2021</v>
      </c>
      <c r="E816" s="6">
        <v>2022</v>
      </c>
      <c r="F816" s="8">
        <v>4635437</v>
      </c>
    </row>
    <row r="817" spans="1:6" x14ac:dyDescent="0.4">
      <c r="A817" s="6">
        <f t="shared" si="30"/>
        <v>816</v>
      </c>
      <c r="B817" s="6" t="str">
        <f t="shared" si="29"/>
        <v>Policy816</v>
      </c>
      <c r="C817" s="7" t="s">
        <v>11</v>
      </c>
      <c r="D817" s="6">
        <v>2023</v>
      </c>
      <c r="E817" s="6">
        <v>2025</v>
      </c>
      <c r="F817" s="8">
        <v>31467</v>
      </c>
    </row>
    <row r="818" spans="1:6" x14ac:dyDescent="0.4">
      <c r="A818" s="6">
        <f t="shared" si="30"/>
        <v>817</v>
      </c>
      <c r="B818" s="6" t="str">
        <f t="shared" si="29"/>
        <v>Policy817</v>
      </c>
      <c r="C818" s="7" t="s">
        <v>11</v>
      </c>
      <c r="D818" s="6">
        <v>2022</v>
      </c>
      <c r="E818" s="6">
        <v>2024</v>
      </c>
      <c r="F818" s="8">
        <v>12559</v>
      </c>
    </row>
    <row r="819" spans="1:6" x14ac:dyDescent="0.4">
      <c r="A819" s="6">
        <f t="shared" si="30"/>
        <v>818</v>
      </c>
      <c r="B819" s="6" t="str">
        <f t="shared" si="29"/>
        <v>Policy818</v>
      </c>
      <c r="C819" s="7" t="s">
        <v>11</v>
      </c>
      <c r="D819" s="6">
        <v>2023</v>
      </c>
      <c r="E819" s="6">
        <v>2024</v>
      </c>
      <c r="F819" s="8">
        <v>45580</v>
      </c>
    </row>
    <row r="820" spans="1:6" x14ac:dyDescent="0.4">
      <c r="A820" s="6">
        <f t="shared" si="30"/>
        <v>819</v>
      </c>
      <c r="B820" s="6" t="str">
        <f t="shared" si="29"/>
        <v>Policy819</v>
      </c>
      <c r="C820" s="7" t="s">
        <v>11</v>
      </c>
      <c r="D820" s="6">
        <v>2022</v>
      </c>
      <c r="E820" s="6">
        <v>2023</v>
      </c>
      <c r="F820" s="8">
        <v>13433</v>
      </c>
    </row>
    <row r="821" spans="1:6" x14ac:dyDescent="0.4">
      <c r="A821" s="6">
        <f t="shared" si="30"/>
        <v>820</v>
      </c>
      <c r="B821" s="6" t="str">
        <f t="shared" si="29"/>
        <v>Policy820</v>
      </c>
      <c r="C821" s="7" t="s">
        <v>12</v>
      </c>
      <c r="D821" s="6">
        <v>2022</v>
      </c>
      <c r="E821" s="6">
        <v>2023</v>
      </c>
      <c r="F821" s="8">
        <v>2506537</v>
      </c>
    </row>
    <row r="822" spans="1:6" x14ac:dyDescent="0.4">
      <c r="A822" s="6">
        <f t="shared" si="30"/>
        <v>821</v>
      </c>
      <c r="B822" s="6" t="str">
        <f t="shared" si="29"/>
        <v>Policy821</v>
      </c>
      <c r="C822" s="7" t="s">
        <v>12</v>
      </c>
      <c r="D822" s="6">
        <v>2025</v>
      </c>
      <c r="E822" s="6">
        <v>2026</v>
      </c>
      <c r="F822" s="8">
        <v>2144080</v>
      </c>
    </row>
    <row r="823" spans="1:6" x14ac:dyDescent="0.4">
      <c r="A823" s="6">
        <f t="shared" si="30"/>
        <v>822</v>
      </c>
      <c r="B823" s="6" t="str">
        <f t="shared" si="29"/>
        <v>Policy822</v>
      </c>
      <c r="C823" s="7" t="s">
        <v>12</v>
      </c>
      <c r="D823" s="6">
        <v>2023</v>
      </c>
      <c r="E823" s="6">
        <v>2026</v>
      </c>
      <c r="F823" s="8">
        <v>1423356</v>
      </c>
    </row>
    <row r="824" spans="1:6" x14ac:dyDescent="0.4">
      <c r="A824" s="6">
        <f t="shared" si="30"/>
        <v>823</v>
      </c>
      <c r="B824" s="6" t="str">
        <f t="shared" si="29"/>
        <v>Policy823</v>
      </c>
      <c r="C824" s="7" t="s">
        <v>11</v>
      </c>
      <c r="D824" s="6">
        <v>2022</v>
      </c>
      <c r="E824" s="6">
        <v>2023</v>
      </c>
      <c r="F824" s="8">
        <v>12604</v>
      </c>
    </row>
    <row r="825" spans="1:6" x14ac:dyDescent="0.4">
      <c r="A825" s="6">
        <f t="shared" si="30"/>
        <v>824</v>
      </c>
      <c r="B825" s="6" t="str">
        <f t="shared" si="29"/>
        <v>Policy824</v>
      </c>
      <c r="C825" s="7" t="s">
        <v>12</v>
      </c>
      <c r="D825" s="6">
        <v>2025</v>
      </c>
      <c r="E825" s="6">
        <v>2026</v>
      </c>
      <c r="F825" s="8">
        <v>4599509</v>
      </c>
    </row>
    <row r="826" spans="1:6" x14ac:dyDescent="0.4">
      <c r="A826" s="6">
        <f t="shared" si="30"/>
        <v>825</v>
      </c>
      <c r="B826" s="6" t="str">
        <f t="shared" si="29"/>
        <v>Policy825</v>
      </c>
      <c r="C826" s="7" t="s">
        <v>11</v>
      </c>
      <c r="D826" s="6">
        <v>2021</v>
      </c>
      <c r="E826" s="6">
        <v>2026</v>
      </c>
      <c r="F826" s="8">
        <v>41361</v>
      </c>
    </row>
    <row r="827" spans="1:6" x14ac:dyDescent="0.4">
      <c r="A827" s="6">
        <f t="shared" si="30"/>
        <v>826</v>
      </c>
      <c r="B827" s="6" t="str">
        <f t="shared" si="29"/>
        <v>Policy826</v>
      </c>
      <c r="C827" s="7" t="s">
        <v>11</v>
      </c>
      <c r="D827" s="6">
        <v>2022</v>
      </c>
      <c r="E827" s="6">
        <v>2025</v>
      </c>
      <c r="F827" s="8">
        <v>8797</v>
      </c>
    </row>
    <row r="828" spans="1:6" x14ac:dyDescent="0.4">
      <c r="A828" s="6">
        <f t="shared" si="30"/>
        <v>827</v>
      </c>
      <c r="B828" s="6" t="str">
        <f t="shared" si="29"/>
        <v>Policy827</v>
      </c>
      <c r="C828" s="7" t="s">
        <v>12</v>
      </c>
      <c r="D828" s="6">
        <v>2025</v>
      </c>
      <c r="E828" s="6">
        <v>2026</v>
      </c>
      <c r="F828" s="8">
        <v>268830</v>
      </c>
    </row>
    <row r="829" spans="1:6" x14ac:dyDescent="0.4">
      <c r="A829" s="6">
        <f t="shared" si="30"/>
        <v>828</v>
      </c>
      <c r="B829" s="6" t="str">
        <f t="shared" si="29"/>
        <v>Policy828</v>
      </c>
      <c r="C829" s="7" t="s">
        <v>11</v>
      </c>
      <c r="D829" s="6">
        <v>2021</v>
      </c>
      <c r="E829" s="6">
        <v>2025</v>
      </c>
      <c r="F829" s="8">
        <v>48392</v>
      </c>
    </row>
    <row r="830" spans="1:6" x14ac:dyDescent="0.4">
      <c r="A830" s="6">
        <f t="shared" si="30"/>
        <v>829</v>
      </c>
      <c r="B830" s="6" t="str">
        <f t="shared" si="29"/>
        <v>Policy829</v>
      </c>
      <c r="C830" s="7" t="s">
        <v>11</v>
      </c>
      <c r="D830" s="6">
        <v>2024</v>
      </c>
      <c r="E830" s="6">
        <v>2025</v>
      </c>
      <c r="F830" s="8">
        <v>25555</v>
      </c>
    </row>
    <row r="831" spans="1:6" x14ac:dyDescent="0.4">
      <c r="A831" s="6">
        <f t="shared" si="30"/>
        <v>830</v>
      </c>
      <c r="B831" s="6" t="str">
        <f t="shared" si="29"/>
        <v>Policy830</v>
      </c>
      <c r="C831" s="7" t="s">
        <v>11</v>
      </c>
      <c r="D831" s="6">
        <v>2023</v>
      </c>
      <c r="E831" s="6">
        <v>2026</v>
      </c>
      <c r="F831" s="8">
        <v>48903</v>
      </c>
    </row>
    <row r="832" spans="1:6" x14ac:dyDescent="0.4">
      <c r="A832" s="6">
        <f t="shared" si="30"/>
        <v>831</v>
      </c>
      <c r="B832" s="6" t="str">
        <f t="shared" si="29"/>
        <v>Policy831</v>
      </c>
      <c r="C832" s="7" t="s">
        <v>12</v>
      </c>
      <c r="D832" s="6">
        <v>2023</v>
      </c>
      <c r="E832" s="6">
        <v>2025</v>
      </c>
      <c r="F832" s="8">
        <v>3002337</v>
      </c>
    </row>
    <row r="833" spans="1:6" x14ac:dyDescent="0.4">
      <c r="A833" s="6">
        <f t="shared" si="30"/>
        <v>832</v>
      </c>
      <c r="B833" s="6" t="str">
        <f t="shared" si="29"/>
        <v>Policy832</v>
      </c>
      <c r="C833" s="7" t="s">
        <v>12</v>
      </c>
      <c r="D833" s="6">
        <v>2023</v>
      </c>
      <c r="E833" s="6">
        <v>2026</v>
      </c>
      <c r="F833" s="8">
        <v>2956292</v>
      </c>
    </row>
    <row r="834" spans="1:6" x14ac:dyDescent="0.4">
      <c r="A834" s="6">
        <f t="shared" si="30"/>
        <v>833</v>
      </c>
      <c r="B834" s="6" t="str">
        <f t="shared" si="29"/>
        <v>Policy833</v>
      </c>
      <c r="C834" s="7" t="s">
        <v>12</v>
      </c>
      <c r="D834" s="6">
        <v>2022</v>
      </c>
      <c r="E834" s="6">
        <v>2026</v>
      </c>
      <c r="F834" s="8">
        <v>3159361</v>
      </c>
    </row>
    <row r="835" spans="1:6" x14ac:dyDescent="0.4">
      <c r="A835" s="6">
        <f t="shared" si="30"/>
        <v>834</v>
      </c>
      <c r="B835" s="6" t="str">
        <f t="shared" ref="B835:B898" si="31">"Policy"&amp;A835</f>
        <v>Policy834</v>
      </c>
      <c r="C835" s="7" t="s">
        <v>11</v>
      </c>
      <c r="D835" s="6">
        <v>2021</v>
      </c>
      <c r="E835" s="6">
        <v>2023</v>
      </c>
      <c r="F835" s="8">
        <v>29269</v>
      </c>
    </row>
    <row r="836" spans="1:6" x14ac:dyDescent="0.4">
      <c r="A836" s="6">
        <f t="shared" ref="A836:A899" si="32">A835+1</f>
        <v>835</v>
      </c>
      <c r="B836" s="6" t="str">
        <f t="shared" si="31"/>
        <v>Policy835</v>
      </c>
      <c r="C836" s="7" t="s">
        <v>12</v>
      </c>
      <c r="D836" s="6">
        <v>2021</v>
      </c>
      <c r="E836" s="6">
        <v>2022</v>
      </c>
      <c r="F836" s="8">
        <v>2612808</v>
      </c>
    </row>
    <row r="837" spans="1:6" x14ac:dyDescent="0.4">
      <c r="A837" s="6">
        <f t="shared" si="32"/>
        <v>836</v>
      </c>
      <c r="B837" s="6" t="str">
        <f t="shared" si="31"/>
        <v>Policy836</v>
      </c>
      <c r="C837" s="7" t="s">
        <v>12</v>
      </c>
      <c r="D837" s="6">
        <v>2023</v>
      </c>
      <c r="E837" s="6">
        <v>2024</v>
      </c>
      <c r="F837" s="8">
        <v>3110532</v>
      </c>
    </row>
    <row r="838" spans="1:6" x14ac:dyDescent="0.4">
      <c r="A838" s="6">
        <f t="shared" si="32"/>
        <v>837</v>
      </c>
      <c r="B838" s="6" t="str">
        <f t="shared" si="31"/>
        <v>Policy837</v>
      </c>
      <c r="C838" s="7" t="s">
        <v>12</v>
      </c>
      <c r="D838" s="6">
        <v>2022</v>
      </c>
      <c r="E838" s="6">
        <v>2023</v>
      </c>
      <c r="F838" s="8">
        <v>1971803</v>
      </c>
    </row>
    <row r="839" spans="1:6" x14ac:dyDescent="0.4">
      <c r="A839" s="6">
        <f t="shared" si="32"/>
        <v>838</v>
      </c>
      <c r="B839" s="6" t="str">
        <f t="shared" si="31"/>
        <v>Policy838</v>
      </c>
      <c r="C839" s="7" t="s">
        <v>12</v>
      </c>
      <c r="D839" s="6">
        <v>2023</v>
      </c>
      <c r="E839" s="6">
        <v>2024</v>
      </c>
      <c r="F839" s="8">
        <v>3765692</v>
      </c>
    </row>
    <row r="840" spans="1:6" x14ac:dyDescent="0.4">
      <c r="A840" s="6">
        <f t="shared" si="32"/>
        <v>839</v>
      </c>
      <c r="B840" s="6" t="str">
        <f t="shared" si="31"/>
        <v>Policy839</v>
      </c>
      <c r="C840" s="7" t="s">
        <v>12</v>
      </c>
      <c r="D840" s="6">
        <v>2025</v>
      </c>
      <c r="E840" s="6">
        <v>2026</v>
      </c>
      <c r="F840" s="8">
        <v>1225538</v>
      </c>
    </row>
    <row r="841" spans="1:6" x14ac:dyDescent="0.4">
      <c r="A841" s="6">
        <f t="shared" si="32"/>
        <v>840</v>
      </c>
      <c r="B841" s="6" t="str">
        <f t="shared" si="31"/>
        <v>Policy840</v>
      </c>
      <c r="C841" s="7" t="s">
        <v>12</v>
      </c>
      <c r="D841" s="6">
        <v>2024</v>
      </c>
      <c r="E841" s="6">
        <v>2025</v>
      </c>
      <c r="F841" s="8">
        <v>600492</v>
      </c>
    </row>
    <row r="842" spans="1:6" x14ac:dyDescent="0.4">
      <c r="A842" s="6">
        <f t="shared" si="32"/>
        <v>841</v>
      </c>
      <c r="B842" s="6" t="str">
        <f t="shared" si="31"/>
        <v>Policy841</v>
      </c>
      <c r="C842" s="7" t="s">
        <v>12</v>
      </c>
      <c r="D842" s="6">
        <v>2024</v>
      </c>
      <c r="E842" s="6">
        <v>2026</v>
      </c>
      <c r="F842" s="8">
        <v>236529</v>
      </c>
    </row>
    <row r="843" spans="1:6" x14ac:dyDescent="0.4">
      <c r="A843" s="6">
        <f t="shared" si="32"/>
        <v>842</v>
      </c>
      <c r="B843" s="6" t="str">
        <f t="shared" si="31"/>
        <v>Policy842</v>
      </c>
      <c r="C843" s="7" t="s">
        <v>11</v>
      </c>
      <c r="D843" s="6">
        <v>2022</v>
      </c>
      <c r="E843" s="6">
        <v>2026</v>
      </c>
      <c r="F843" s="8">
        <v>26110</v>
      </c>
    </row>
    <row r="844" spans="1:6" x14ac:dyDescent="0.4">
      <c r="A844" s="6">
        <f t="shared" si="32"/>
        <v>843</v>
      </c>
      <c r="B844" s="6" t="str">
        <f t="shared" si="31"/>
        <v>Policy843</v>
      </c>
      <c r="C844" s="7" t="s">
        <v>11</v>
      </c>
      <c r="D844" s="6">
        <v>2024</v>
      </c>
      <c r="E844" s="6">
        <v>2025</v>
      </c>
      <c r="F844" s="8">
        <v>16234</v>
      </c>
    </row>
    <row r="845" spans="1:6" x14ac:dyDescent="0.4">
      <c r="A845" s="6">
        <f t="shared" si="32"/>
        <v>844</v>
      </c>
      <c r="B845" s="6" t="str">
        <f t="shared" si="31"/>
        <v>Policy844</v>
      </c>
      <c r="C845" s="7" t="s">
        <v>12</v>
      </c>
      <c r="D845" s="6">
        <v>2021</v>
      </c>
      <c r="E845" s="6">
        <v>2026</v>
      </c>
      <c r="F845" s="8">
        <v>2480731</v>
      </c>
    </row>
    <row r="846" spans="1:6" x14ac:dyDescent="0.4">
      <c r="A846" s="6">
        <f t="shared" si="32"/>
        <v>845</v>
      </c>
      <c r="B846" s="6" t="str">
        <f t="shared" si="31"/>
        <v>Policy845</v>
      </c>
      <c r="C846" s="7" t="s">
        <v>11</v>
      </c>
      <c r="D846" s="6">
        <v>2021</v>
      </c>
      <c r="E846" s="6">
        <v>2023</v>
      </c>
      <c r="F846" s="8">
        <v>4168</v>
      </c>
    </row>
    <row r="847" spans="1:6" x14ac:dyDescent="0.4">
      <c r="A847" s="6">
        <f t="shared" si="32"/>
        <v>846</v>
      </c>
      <c r="B847" s="6" t="str">
        <f t="shared" si="31"/>
        <v>Policy846</v>
      </c>
      <c r="C847" s="7" t="s">
        <v>12</v>
      </c>
      <c r="D847" s="6">
        <v>2025</v>
      </c>
      <c r="E847" s="6">
        <v>2026</v>
      </c>
      <c r="F847" s="8">
        <v>4531992</v>
      </c>
    </row>
    <row r="848" spans="1:6" x14ac:dyDescent="0.4">
      <c r="A848" s="6">
        <f t="shared" si="32"/>
        <v>847</v>
      </c>
      <c r="B848" s="6" t="str">
        <f t="shared" si="31"/>
        <v>Policy847</v>
      </c>
      <c r="C848" s="7" t="s">
        <v>12</v>
      </c>
      <c r="D848" s="6">
        <v>2022</v>
      </c>
      <c r="E848" s="6">
        <v>2026</v>
      </c>
      <c r="F848" s="8">
        <v>955653</v>
      </c>
    </row>
    <row r="849" spans="1:6" x14ac:dyDescent="0.4">
      <c r="A849" s="6">
        <f t="shared" si="32"/>
        <v>848</v>
      </c>
      <c r="B849" s="6" t="str">
        <f t="shared" si="31"/>
        <v>Policy848</v>
      </c>
      <c r="C849" s="7" t="s">
        <v>11</v>
      </c>
      <c r="D849" s="6">
        <v>2023</v>
      </c>
      <c r="E849" s="6">
        <v>2024</v>
      </c>
      <c r="F849" s="8">
        <v>9305</v>
      </c>
    </row>
    <row r="850" spans="1:6" x14ac:dyDescent="0.4">
      <c r="A850" s="6">
        <f t="shared" si="32"/>
        <v>849</v>
      </c>
      <c r="B850" s="6" t="str">
        <f t="shared" si="31"/>
        <v>Policy849</v>
      </c>
      <c r="C850" s="7" t="s">
        <v>11</v>
      </c>
      <c r="D850" s="6">
        <v>2023</v>
      </c>
      <c r="E850" s="6">
        <v>2026</v>
      </c>
      <c r="F850" s="8">
        <v>22087</v>
      </c>
    </row>
    <row r="851" spans="1:6" x14ac:dyDescent="0.4">
      <c r="A851" s="6">
        <f t="shared" si="32"/>
        <v>850</v>
      </c>
      <c r="B851" s="6" t="str">
        <f t="shared" si="31"/>
        <v>Policy850</v>
      </c>
      <c r="C851" s="7" t="s">
        <v>12</v>
      </c>
      <c r="D851" s="6">
        <v>2025</v>
      </c>
      <c r="E851" s="6">
        <v>2026</v>
      </c>
      <c r="F851" s="8">
        <v>2693306</v>
      </c>
    </row>
    <row r="852" spans="1:6" x14ac:dyDescent="0.4">
      <c r="A852" s="6">
        <f t="shared" si="32"/>
        <v>851</v>
      </c>
      <c r="B852" s="6" t="str">
        <f t="shared" si="31"/>
        <v>Policy851</v>
      </c>
      <c r="C852" s="7" t="s">
        <v>11</v>
      </c>
      <c r="D852" s="6">
        <v>2025</v>
      </c>
      <c r="E852" s="6">
        <v>2026</v>
      </c>
      <c r="F852" s="8">
        <v>447</v>
      </c>
    </row>
    <row r="853" spans="1:6" x14ac:dyDescent="0.4">
      <c r="A853" s="6">
        <f t="shared" si="32"/>
        <v>852</v>
      </c>
      <c r="B853" s="6" t="str">
        <f t="shared" si="31"/>
        <v>Policy852</v>
      </c>
      <c r="C853" s="7" t="s">
        <v>11</v>
      </c>
      <c r="D853" s="6">
        <v>2025</v>
      </c>
      <c r="E853" s="6">
        <v>2026</v>
      </c>
      <c r="F853" s="8">
        <v>42252</v>
      </c>
    </row>
    <row r="854" spans="1:6" x14ac:dyDescent="0.4">
      <c r="A854" s="6">
        <f t="shared" si="32"/>
        <v>853</v>
      </c>
      <c r="B854" s="6" t="str">
        <f t="shared" si="31"/>
        <v>Policy853</v>
      </c>
      <c r="C854" s="7" t="s">
        <v>12</v>
      </c>
      <c r="D854" s="6">
        <v>2024</v>
      </c>
      <c r="E854" s="6">
        <v>2026</v>
      </c>
      <c r="F854" s="8">
        <v>872220</v>
      </c>
    </row>
    <row r="855" spans="1:6" x14ac:dyDescent="0.4">
      <c r="A855" s="6">
        <f t="shared" si="32"/>
        <v>854</v>
      </c>
      <c r="B855" s="6" t="str">
        <f t="shared" si="31"/>
        <v>Policy854</v>
      </c>
      <c r="C855" s="7" t="s">
        <v>12</v>
      </c>
      <c r="D855" s="6">
        <v>2021</v>
      </c>
      <c r="E855" s="6">
        <v>2022</v>
      </c>
      <c r="F855" s="8">
        <v>620692</v>
      </c>
    </row>
    <row r="856" spans="1:6" x14ac:dyDescent="0.4">
      <c r="A856" s="6">
        <f t="shared" si="32"/>
        <v>855</v>
      </c>
      <c r="B856" s="6" t="str">
        <f t="shared" si="31"/>
        <v>Policy855</v>
      </c>
      <c r="C856" s="7" t="s">
        <v>12</v>
      </c>
      <c r="D856" s="6">
        <v>2024</v>
      </c>
      <c r="E856" s="6">
        <v>2026</v>
      </c>
      <c r="F856" s="8">
        <v>4533760</v>
      </c>
    </row>
    <row r="857" spans="1:6" x14ac:dyDescent="0.4">
      <c r="A857" s="6">
        <f t="shared" si="32"/>
        <v>856</v>
      </c>
      <c r="B857" s="6" t="str">
        <f t="shared" si="31"/>
        <v>Policy856</v>
      </c>
      <c r="C857" s="7" t="s">
        <v>11</v>
      </c>
      <c r="D857" s="6">
        <v>2024</v>
      </c>
      <c r="E857" s="6">
        <v>2026</v>
      </c>
      <c r="F857" s="8">
        <v>23813</v>
      </c>
    </row>
    <row r="858" spans="1:6" x14ac:dyDescent="0.4">
      <c r="A858" s="6">
        <f t="shared" si="32"/>
        <v>857</v>
      </c>
      <c r="B858" s="6" t="str">
        <f t="shared" si="31"/>
        <v>Policy857</v>
      </c>
      <c r="C858" s="7" t="s">
        <v>12</v>
      </c>
      <c r="D858" s="6">
        <v>2022</v>
      </c>
      <c r="E858" s="6">
        <v>2025</v>
      </c>
      <c r="F858" s="8">
        <v>491420</v>
      </c>
    </row>
    <row r="859" spans="1:6" x14ac:dyDescent="0.4">
      <c r="A859" s="6">
        <f t="shared" si="32"/>
        <v>858</v>
      </c>
      <c r="B859" s="6" t="str">
        <f t="shared" si="31"/>
        <v>Policy858</v>
      </c>
      <c r="C859" s="7" t="s">
        <v>11</v>
      </c>
      <c r="D859" s="6">
        <v>2025</v>
      </c>
      <c r="E859" s="6">
        <v>2026</v>
      </c>
      <c r="F859" s="8">
        <v>25868</v>
      </c>
    </row>
    <row r="860" spans="1:6" x14ac:dyDescent="0.4">
      <c r="A860" s="6">
        <f t="shared" si="32"/>
        <v>859</v>
      </c>
      <c r="B860" s="6" t="str">
        <f t="shared" si="31"/>
        <v>Policy859</v>
      </c>
      <c r="C860" s="7" t="s">
        <v>11</v>
      </c>
      <c r="D860" s="6">
        <v>2025</v>
      </c>
      <c r="E860" s="6">
        <v>2026</v>
      </c>
      <c r="F860" s="8">
        <v>38845</v>
      </c>
    </row>
    <row r="861" spans="1:6" x14ac:dyDescent="0.4">
      <c r="A861" s="6">
        <f t="shared" si="32"/>
        <v>860</v>
      </c>
      <c r="B861" s="6" t="str">
        <f t="shared" si="31"/>
        <v>Policy860</v>
      </c>
      <c r="C861" s="7" t="s">
        <v>12</v>
      </c>
      <c r="D861" s="6">
        <v>2021</v>
      </c>
      <c r="E861" s="6">
        <v>2023</v>
      </c>
      <c r="F861" s="8">
        <v>1447677</v>
      </c>
    </row>
    <row r="862" spans="1:6" x14ac:dyDescent="0.4">
      <c r="A862" s="6">
        <f t="shared" si="32"/>
        <v>861</v>
      </c>
      <c r="B862" s="6" t="str">
        <f t="shared" si="31"/>
        <v>Policy861</v>
      </c>
      <c r="C862" s="7" t="s">
        <v>12</v>
      </c>
      <c r="D862" s="6">
        <v>2023</v>
      </c>
      <c r="E862" s="6">
        <v>2026</v>
      </c>
      <c r="F862" s="8">
        <v>3397776</v>
      </c>
    </row>
    <row r="863" spans="1:6" x14ac:dyDescent="0.4">
      <c r="A863" s="6">
        <f t="shared" si="32"/>
        <v>862</v>
      </c>
      <c r="B863" s="6" t="str">
        <f t="shared" si="31"/>
        <v>Policy862</v>
      </c>
      <c r="C863" s="7" t="s">
        <v>11</v>
      </c>
      <c r="D863" s="6">
        <v>2022</v>
      </c>
      <c r="E863" s="6">
        <v>2023</v>
      </c>
      <c r="F863" s="8">
        <v>21743</v>
      </c>
    </row>
    <row r="864" spans="1:6" x14ac:dyDescent="0.4">
      <c r="A864" s="6">
        <f t="shared" si="32"/>
        <v>863</v>
      </c>
      <c r="B864" s="6" t="str">
        <f t="shared" si="31"/>
        <v>Policy863</v>
      </c>
      <c r="C864" s="7" t="s">
        <v>11</v>
      </c>
      <c r="D864" s="6">
        <v>2024</v>
      </c>
      <c r="E864" s="6">
        <v>2025</v>
      </c>
      <c r="F864" s="8">
        <v>2072</v>
      </c>
    </row>
    <row r="865" spans="1:6" x14ac:dyDescent="0.4">
      <c r="A865" s="6">
        <f t="shared" si="32"/>
        <v>864</v>
      </c>
      <c r="B865" s="6" t="str">
        <f t="shared" si="31"/>
        <v>Policy864</v>
      </c>
      <c r="C865" s="7" t="s">
        <v>12</v>
      </c>
      <c r="D865" s="6">
        <v>2021</v>
      </c>
      <c r="E865" s="6">
        <v>2025</v>
      </c>
      <c r="F865" s="8">
        <v>3744071</v>
      </c>
    </row>
    <row r="866" spans="1:6" x14ac:dyDescent="0.4">
      <c r="A866" s="6">
        <f t="shared" si="32"/>
        <v>865</v>
      </c>
      <c r="B866" s="6" t="str">
        <f t="shared" si="31"/>
        <v>Policy865</v>
      </c>
      <c r="C866" s="7" t="s">
        <v>11</v>
      </c>
      <c r="D866" s="6">
        <v>2025</v>
      </c>
      <c r="E866" s="6">
        <v>2026</v>
      </c>
      <c r="F866" s="8">
        <v>34303</v>
      </c>
    </row>
    <row r="867" spans="1:6" x14ac:dyDescent="0.4">
      <c r="A867" s="6">
        <f t="shared" si="32"/>
        <v>866</v>
      </c>
      <c r="B867" s="6" t="str">
        <f t="shared" si="31"/>
        <v>Policy866</v>
      </c>
      <c r="C867" s="7" t="s">
        <v>12</v>
      </c>
      <c r="D867" s="6">
        <v>2021</v>
      </c>
      <c r="E867" s="6">
        <v>2025</v>
      </c>
      <c r="F867" s="8">
        <v>2156742</v>
      </c>
    </row>
    <row r="868" spans="1:6" x14ac:dyDescent="0.4">
      <c r="A868" s="6">
        <f t="shared" si="32"/>
        <v>867</v>
      </c>
      <c r="B868" s="6" t="str">
        <f t="shared" si="31"/>
        <v>Policy867</v>
      </c>
      <c r="C868" s="7" t="s">
        <v>11</v>
      </c>
      <c r="D868" s="6">
        <v>2024</v>
      </c>
      <c r="E868" s="6">
        <v>2026</v>
      </c>
      <c r="F868" s="8">
        <v>49857</v>
      </c>
    </row>
    <row r="869" spans="1:6" x14ac:dyDescent="0.4">
      <c r="A869" s="6">
        <f t="shared" si="32"/>
        <v>868</v>
      </c>
      <c r="B869" s="6" t="str">
        <f t="shared" si="31"/>
        <v>Policy868</v>
      </c>
      <c r="C869" s="7" t="s">
        <v>12</v>
      </c>
      <c r="D869" s="6">
        <v>2021</v>
      </c>
      <c r="E869" s="6">
        <v>2022</v>
      </c>
      <c r="F869" s="8">
        <v>1887316</v>
      </c>
    </row>
    <row r="870" spans="1:6" x14ac:dyDescent="0.4">
      <c r="A870" s="6">
        <f t="shared" si="32"/>
        <v>869</v>
      </c>
      <c r="B870" s="6" t="str">
        <f t="shared" si="31"/>
        <v>Policy869</v>
      </c>
      <c r="C870" s="7" t="s">
        <v>11</v>
      </c>
      <c r="D870" s="6">
        <v>2022</v>
      </c>
      <c r="E870" s="6">
        <v>2026</v>
      </c>
      <c r="F870" s="8">
        <v>13502</v>
      </c>
    </row>
    <row r="871" spans="1:6" x14ac:dyDescent="0.4">
      <c r="A871" s="6">
        <f t="shared" si="32"/>
        <v>870</v>
      </c>
      <c r="B871" s="6" t="str">
        <f t="shared" si="31"/>
        <v>Policy870</v>
      </c>
      <c r="C871" s="7" t="s">
        <v>12</v>
      </c>
      <c r="D871" s="6">
        <v>2021</v>
      </c>
      <c r="E871" s="6">
        <v>2025</v>
      </c>
      <c r="F871" s="8">
        <v>3041393</v>
      </c>
    </row>
    <row r="872" spans="1:6" x14ac:dyDescent="0.4">
      <c r="A872" s="6">
        <f t="shared" si="32"/>
        <v>871</v>
      </c>
      <c r="B872" s="6" t="str">
        <f t="shared" si="31"/>
        <v>Policy871</v>
      </c>
      <c r="C872" s="7" t="s">
        <v>11</v>
      </c>
      <c r="D872" s="6">
        <v>2022</v>
      </c>
      <c r="E872" s="6">
        <v>2026</v>
      </c>
      <c r="F872" s="8">
        <v>4045</v>
      </c>
    </row>
    <row r="873" spans="1:6" x14ac:dyDescent="0.4">
      <c r="A873" s="6">
        <f t="shared" si="32"/>
        <v>872</v>
      </c>
      <c r="B873" s="6" t="str">
        <f t="shared" si="31"/>
        <v>Policy872</v>
      </c>
      <c r="C873" s="7" t="s">
        <v>12</v>
      </c>
      <c r="D873" s="6">
        <v>2021</v>
      </c>
      <c r="E873" s="6">
        <v>2026</v>
      </c>
      <c r="F873" s="8">
        <v>1725006</v>
      </c>
    </row>
    <row r="874" spans="1:6" x14ac:dyDescent="0.4">
      <c r="A874" s="6">
        <f t="shared" si="32"/>
        <v>873</v>
      </c>
      <c r="B874" s="6" t="str">
        <f t="shared" si="31"/>
        <v>Policy873</v>
      </c>
      <c r="C874" s="7" t="s">
        <v>11</v>
      </c>
      <c r="D874" s="6">
        <v>2025</v>
      </c>
      <c r="E874" s="6">
        <v>2026</v>
      </c>
      <c r="F874" s="8">
        <v>29569</v>
      </c>
    </row>
    <row r="875" spans="1:6" x14ac:dyDescent="0.4">
      <c r="A875" s="6">
        <f t="shared" si="32"/>
        <v>874</v>
      </c>
      <c r="B875" s="6" t="str">
        <f t="shared" si="31"/>
        <v>Policy874</v>
      </c>
      <c r="C875" s="7" t="s">
        <v>12</v>
      </c>
      <c r="D875" s="6">
        <v>2021</v>
      </c>
      <c r="E875" s="6">
        <v>2023</v>
      </c>
      <c r="F875" s="8">
        <v>1592886</v>
      </c>
    </row>
    <row r="876" spans="1:6" x14ac:dyDescent="0.4">
      <c r="A876" s="6">
        <f t="shared" si="32"/>
        <v>875</v>
      </c>
      <c r="B876" s="6" t="str">
        <f t="shared" si="31"/>
        <v>Policy875</v>
      </c>
      <c r="C876" s="7" t="s">
        <v>12</v>
      </c>
      <c r="D876" s="6">
        <v>2025</v>
      </c>
      <c r="E876" s="6">
        <v>2026</v>
      </c>
      <c r="F876" s="8">
        <v>4562286</v>
      </c>
    </row>
    <row r="877" spans="1:6" x14ac:dyDescent="0.4">
      <c r="A877" s="6">
        <f t="shared" si="32"/>
        <v>876</v>
      </c>
      <c r="B877" s="6" t="str">
        <f t="shared" si="31"/>
        <v>Policy876</v>
      </c>
      <c r="C877" s="7" t="s">
        <v>12</v>
      </c>
      <c r="D877" s="6">
        <v>2025</v>
      </c>
      <c r="E877" s="6">
        <v>2026</v>
      </c>
      <c r="F877" s="8">
        <v>2529858</v>
      </c>
    </row>
    <row r="878" spans="1:6" x14ac:dyDescent="0.4">
      <c r="A878" s="6">
        <f t="shared" si="32"/>
        <v>877</v>
      </c>
      <c r="B878" s="6" t="str">
        <f t="shared" si="31"/>
        <v>Policy877</v>
      </c>
      <c r="C878" s="7" t="s">
        <v>11</v>
      </c>
      <c r="D878" s="6">
        <v>2022</v>
      </c>
      <c r="E878" s="6">
        <v>2024</v>
      </c>
      <c r="F878" s="8">
        <v>3767</v>
      </c>
    </row>
    <row r="879" spans="1:6" x14ac:dyDescent="0.4">
      <c r="A879" s="6">
        <f t="shared" si="32"/>
        <v>878</v>
      </c>
      <c r="B879" s="6" t="str">
        <f t="shared" si="31"/>
        <v>Policy878</v>
      </c>
      <c r="C879" s="7" t="s">
        <v>12</v>
      </c>
      <c r="D879" s="6">
        <v>2023</v>
      </c>
      <c r="E879" s="6">
        <v>2026</v>
      </c>
      <c r="F879" s="8">
        <v>3677169</v>
      </c>
    </row>
    <row r="880" spans="1:6" x14ac:dyDescent="0.4">
      <c r="A880" s="6">
        <f t="shared" si="32"/>
        <v>879</v>
      </c>
      <c r="B880" s="6" t="str">
        <f t="shared" si="31"/>
        <v>Policy879</v>
      </c>
      <c r="C880" s="7" t="s">
        <v>11</v>
      </c>
      <c r="D880" s="6">
        <v>2023</v>
      </c>
      <c r="E880" s="6">
        <v>2026</v>
      </c>
      <c r="F880" s="8">
        <v>6943</v>
      </c>
    </row>
    <row r="881" spans="1:6" x14ac:dyDescent="0.4">
      <c r="A881" s="6">
        <f t="shared" si="32"/>
        <v>880</v>
      </c>
      <c r="B881" s="6" t="str">
        <f t="shared" si="31"/>
        <v>Policy880</v>
      </c>
      <c r="C881" s="7" t="s">
        <v>11</v>
      </c>
      <c r="D881" s="6">
        <v>2024</v>
      </c>
      <c r="E881" s="6">
        <v>2026</v>
      </c>
      <c r="F881" s="8">
        <v>319</v>
      </c>
    </row>
    <row r="882" spans="1:6" x14ac:dyDescent="0.4">
      <c r="A882" s="6">
        <f t="shared" si="32"/>
        <v>881</v>
      </c>
      <c r="B882" s="6" t="str">
        <f t="shared" si="31"/>
        <v>Policy881</v>
      </c>
      <c r="C882" s="7" t="s">
        <v>11</v>
      </c>
      <c r="D882" s="6">
        <v>2025</v>
      </c>
      <c r="E882" s="6">
        <v>2026</v>
      </c>
      <c r="F882" s="8">
        <v>24584</v>
      </c>
    </row>
    <row r="883" spans="1:6" x14ac:dyDescent="0.4">
      <c r="A883" s="6">
        <f t="shared" si="32"/>
        <v>882</v>
      </c>
      <c r="B883" s="6" t="str">
        <f t="shared" si="31"/>
        <v>Policy882</v>
      </c>
      <c r="C883" s="7" t="s">
        <v>12</v>
      </c>
      <c r="D883" s="6">
        <v>2025</v>
      </c>
      <c r="E883" s="6">
        <v>2026</v>
      </c>
      <c r="F883" s="8">
        <v>4564405</v>
      </c>
    </row>
    <row r="884" spans="1:6" x14ac:dyDescent="0.4">
      <c r="A884" s="6">
        <f t="shared" si="32"/>
        <v>883</v>
      </c>
      <c r="B884" s="6" t="str">
        <f t="shared" si="31"/>
        <v>Policy883</v>
      </c>
      <c r="C884" s="7" t="s">
        <v>11</v>
      </c>
      <c r="D884" s="6">
        <v>2023</v>
      </c>
      <c r="E884" s="6">
        <v>2025</v>
      </c>
      <c r="F884" s="8">
        <v>24651</v>
      </c>
    </row>
    <row r="885" spans="1:6" x14ac:dyDescent="0.4">
      <c r="A885" s="6">
        <f t="shared" si="32"/>
        <v>884</v>
      </c>
      <c r="B885" s="6" t="str">
        <f t="shared" si="31"/>
        <v>Policy884</v>
      </c>
      <c r="C885" s="7" t="s">
        <v>12</v>
      </c>
      <c r="D885" s="6">
        <v>2022</v>
      </c>
      <c r="E885" s="6">
        <v>2025</v>
      </c>
      <c r="F885" s="8">
        <v>1132135</v>
      </c>
    </row>
    <row r="886" spans="1:6" x14ac:dyDescent="0.4">
      <c r="A886" s="6">
        <f t="shared" si="32"/>
        <v>885</v>
      </c>
      <c r="B886" s="6" t="str">
        <f t="shared" si="31"/>
        <v>Policy885</v>
      </c>
      <c r="C886" s="7" t="s">
        <v>12</v>
      </c>
      <c r="D886" s="6">
        <v>2022</v>
      </c>
      <c r="E886" s="6">
        <v>2023</v>
      </c>
      <c r="F886" s="8">
        <v>391145</v>
      </c>
    </row>
    <row r="887" spans="1:6" x14ac:dyDescent="0.4">
      <c r="A887" s="6">
        <f t="shared" si="32"/>
        <v>886</v>
      </c>
      <c r="B887" s="6" t="str">
        <f t="shared" si="31"/>
        <v>Policy886</v>
      </c>
      <c r="C887" s="7" t="s">
        <v>11</v>
      </c>
      <c r="D887" s="6">
        <v>2023</v>
      </c>
      <c r="E887" s="6">
        <v>2024</v>
      </c>
      <c r="F887" s="8">
        <v>18387</v>
      </c>
    </row>
    <row r="888" spans="1:6" x14ac:dyDescent="0.4">
      <c r="A888" s="6">
        <f t="shared" si="32"/>
        <v>887</v>
      </c>
      <c r="B888" s="6" t="str">
        <f t="shared" si="31"/>
        <v>Policy887</v>
      </c>
      <c r="C888" s="7" t="s">
        <v>11</v>
      </c>
      <c r="D888" s="6">
        <v>2021</v>
      </c>
      <c r="E888" s="6">
        <v>2026</v>
      </c>
      <c r="F888" s="8">
        <v>31207</v>
      </c>
    </row>
    <row r="889" spans="1:6" x14ac:dyDescent="0.4">
      <c r="A889" s="6">
        <f t="shared" si="32"/>
        <v>888</v>
      </c>
      <c r="B889" s="6" t="str">
        <f t="shared" si="31"/>
        <v>Policy888</v>
      </c>
      <c r="C889" s="7" t="s">
        <v>11</v>
      </c>
      <c r="D889" s="6">
        <v>2022</v>
      </c>
      <c r="E889" s="6">
        <v>2024</v>
      </c>
      <c r="F889" s="8">
        <v>11248</v>
      </c>
    </row>
    <row r="890" spans="1:6" x14ac:dyDescent="0.4">
      <c r="A890" s="6">
        <f t="shared" si="32"/>
        <v>889</v>
      </c>
      <c r="B890" s="6" t="str">
        <f t="shared" si="31"/>
        <v>Policy889</v>
      </c>
      <c r="C890" s="7" t="s">
        <v>11</v>
      </c>
      <c r="D890" s="6">
        <v>2023</v>
      </c>
      <c r="E890" s="6">
        <v>2025</v>
      </c>
      <c r="F890" s="8">
        <v>42163</v>
      </c>
    </row>
    <row r="891" spans="1:6" x14ac:dyDescent="0.4">
      <c r="A891" s="6">
        <f t="shared" si="32"/>
        <v>890</v>
      </c>
      <c r="B891" s="6" t="str">
        <f t="shared" si="31"/>
        <v>Policy890</v>
      </c>
      <c r="C891" s="7" t="s">
        <v>11</v>
      </c>
      <c r="D891" s="6">
        <v>2022</v>
      </c>
      <c r="E891" s="6">
        <v>2025</v>
      </c>
      <c r="F891" s="8">
        <v>22422</v>
      </c>
    </row>
    <row r="892" spans="1:6" x14ac:dyDescent="0.4">
      <c r="A892" s="6">
        <f t="shared" si="32"/>
        <v>891</v>
      </c>
      <c r="B892" s="6" t="str">
        <f t="shared" si="31"/>
        <v>Policy891</v>
      </c>
      <c r="C892" s="7" t="s">
        <v>12</v>
      </c>
      <c r="D892" s="6">
        <v>2022</v>
      </c>
      <c r="E892" s="6">
        <v>2023</v>
      </c>
      <c r="F892" s="8">
        <v>3105902</v>
      </c>
    </row>
    <row r="893" spans="1:6" x14ac:dyDescent="0.4">
      <c r="A893" s="6">
        <f t="shared" si="32"/>
        <v>892</v>
      </c>
      <c r="B893" s="6" t="str">
        <f t="shared" si="31"/>
        <v>Policy892</v>
      </c>
      <c r="C893" s="7" t="s">
        <v>11</v>
      </c>
      <c r="D893" s="6">
        <v>2021</v>
      </c>
      <c r="E893" s="6">
        <v>2024</v>
      </c>
      <c r="F893" s="8">
        <v>41794</v>
      </c>
    </row>
    <row r="894" spans="1:6" x14ac:dyDescent="0.4">
      <c r="A894" s="6">
        <f t="shared" si="32"/>
        <v>893</v>
      </c>
      <c r="B894" s="6" t="str">
        <f t="shared" si="31"/>
        <v>Policy893</v>
      </c>
      <c r="C894" s="7" t="s">
        <v>11</v>
      </c>
      <c r="D894" s="6">
        <v>2022</v>
      </c>
      <c r="E894" s="6">
        <v>2024</v>
      </c>
      <c r="F894" s="8">
        <v>3392</v>
      </c>
    </row>
    <row r="895" spans="1:6" x14ac:dyDescent="0.4">
      <c r="A895" s="6">
        <f t="shared" si="32"/>
        <v>894</v>
      </c>
      <c r="B895" s="6" t="str">
        <f t="shared" si="31"/>
        <v>Policy894</v>
      </c>
      <c r="C895" s="7" t="s">
        <v>12</v>
      </c>
      <c r="D895" s="6">
        <v>2025</v>
      </c>
      <c r="E895" s="6">
        <v>2026</v>
      </c>
      <c r="F895" s="8">
        <v>374779</v>
      </c>
    </row>
    <row r="896" spans="1:6" x14ac:dyDescent="0.4">
      <c r="A896" s="6">
        <f t="shared" si="32"/>
        <v>895</v>
      </c>
      <c r="B896" s="6" t="str">
        <f t="shared" si="31"/>
        <v>Policy895</v>
      </c>
      <c r="C896" s="7" t="s">
        <v>11</v>
      </c>
      <c r="D896" s="6">
        <v>2022</v>
      </c>
      <c r="E896" s="6">
        <v>2024</v>
      </c>
      <c r="F896" s="8">
        <v>3139</v>
      </c>
    </row>
    <row r="897" spans="1:6" x14ac:dyDescent="0.4">
      <c r="A897" s="6">
        <f t="shared" si="32"/>
        <v>896</v>
      </c>
      <c r="B897" s="6" t="str">
        <f t="shared" si="31"/>
        <v>Policy896</v>
      </c>
      <c r="C897" s="7" t="s">
        <v>12</v>
      </c>
      <c r="D897" s="6">
        <v>2021</v>
      </c>
      <c r="E897" s="6">
        <v>2024</v>
      </c>
      <c r="F897" s="8">
        <v>2988131</v>
      </c>
    </row>
    <row r="898" spans="1:6" x14ac:dyDescent="0.4">
      <c r="A898" s="6">
        <f t="shared" si="32"/>
        <v>897</v>
      </c>
      <c r="B898" s="6" t="str">
        <f t="shared" si="31"/>
        <v>Policy897</v>
      </c>
      <c r="C898" s="7" t="s">
        <v>12</v>
      </c>
      <c r="D898" s="6">
        <v>2024</v>
      </c>
      <c r="E898" s="6">
        <v>2025</v>
      </c>
      <c r="F898" s="8">
        <v>355039</v>
      </c>
    </row>
    <row r="899" spans="1:6" x14ac:dyDescent="0.4">
      <c r="A899" s="6">
        <f t="shared" si="32"/>
        <v>898</v>
      </c>
      <c r="B899" s="6" t="str">
        <f t="shared" ref="B899:B962" si="33">"Policy"&amp;A899</f>
        <v>Policy898</v>
      </c>
      <c r="C899" s="7" t="s">
        <v>11</v>
      </c>
      <c r="D899" s="6">
        <v>2021</v>
      </c>
      <c r="E899" s="6">
        <v>2023</v>
      </c>
      <c r="F899" s="8">
        <v>1619</v>
      </c>
    </row>
    <row r="900" spans="1:6" x14ac:dyDescent="0.4">
      <c r="A900" s="6">
        <f t="shared" ref="A900:A963" si="34">A899+1</f>
        <v>899</v>
      </c>
      <c r="B900" s="6" t="str">
        <f t="shared" si="33"/>
        <v>Policy899</v>
      </c>
      <c r="C900" s="7" t="s">
        <v>12</v>
      </c>
      <c r="D900" s="6">
        <v>2022</v>
      </c>
      <c r="E900" s="6">
        <v>2024</v>
      </c>
      <c r="F900" s="8">
        <v>3884573</v>
      </c>
    </row>
    <row r="901" spans="1:6" x14ac:dyDescent="0.4">
      <c r="A901" s="6">
        <f t="shared" si="34"/>
        <v>900</v>
      </c>
      <c r="B901" s="6" t="str">
        <f t="shared" si="33"/>
        <v>Policy900</v>
      </c>
      <c r="C901" s="7" t="s">
        <v>12</v>
      </c>
      <c r="D901" s="6">
        <v>2025</v>
      </c>
      <c r="E901" s="6">
        <v>2026</v>
      </c>
      <c r="F901" s="8">
        <v>3034646</v>
      </c>
    </row>
    <row r="902" spans="1:6" x14ac:dyDescent="0.4">
      <c r="A902" s="6">
        <f t="shared" si="34"/>
        <v>901</v>
      </c>
      <c r="B902" s="6" t="str">
        <f t="shared" si="33"/>
        <v>Policy901</v>
      </c>
      <c r="C902" s="7" t="s">
        <v>11</v>
      </c>
      <c r="D902" s="6">
        <v>2023</v>
      </c>
      <c r="E902" s="6">
        <v>2024</v>
      </c>
      <c r="F902" s="8">
        <v>48366</v>
      </c>
    </row>
    <row r="903" spans="1:6" x14ac:dyDescent="0.4">
      <c r="A903" s="6">
        <f t="shared" si="34"/>
        <v>902</v>
      </c>
      <c r="B903" s="6" t="str">
        <f t="shared" si="33"/>
        <v>Policy902</v>
      </c>
      <c r="C903" s="7" t="s">
        <v>11</v>
      </c>
      <c r="D903" s="6">
        <v>2025</v>
      </c>
      <c r="E903" s="6">
        <v>2026</v>
      </c>
      <c r="F903" s="8">
        <v>20850</v>
      </c>
    </row>
    <row r="904" spans="1:6" x14ac:dyDescent="0.4">
      <c r="A904" s="6">
        <f t="shared" si="34"/>
        <v>903</v>
      </c>
      <c r="B904" s="6" t="str">
        <f t="shared" si="33"/>
        <v>Policy903</v>
      </c>
      <c r="C904" s="7" t="s">
        <v>11</v>
      </c>
      <c r="D904" s="6">
        <v>2024</v>
      </c>
      <c r="E904" s="6">
        <v>2026</v>
      </c>
      <c r="F904" s="8">
        <v>12322</v>
      </c>
    </row>
    <row r="905" spans="1:6" x14ac:dyDescent="0.4">
      <c r="A905" s="6">
        <f t="shared" si="34"/>
        <v>904</v>
      </c>
      <c r="B905" s="6" t="str">
        <f t="shared" si="33"/>
        <v>Policy904</v>
      </c>
      <c r="C905" s="7" t="s">
        <v>11</v>
      </c>
      <c r="D905" s="6">
        <v>2021</v>
      </c>
      <c r="E905" s="6">
        <v>2025</v>
      </c>
      <c r="F905" s="8">
        <v>14292</v>
      </c>
    </row>
    <row r="906" spans="1:6" x14ac:dyDescent="0.4">
      <c r="A906" s="6">
        <f t="shared" si="34"/>
        <v>905</v>
      </c>
      <c r="B906" s="6" t="str">
        <f t="shared" si="33"/>
        <v>Policy905</v>
      </c>
      <c r="C906" s="7" t="s">
        <v>11</v>
      </c>
      <c r="D906" s="6">
        <v>2024</v>
      </c>
      <c r="E906" s="6">
        <v>2026</v>
      </c>
      <c r="F906" s="8">
        <v>35798</v>
      </c>
    </row>
    <row r="907" spans="1:6" x14ac:dyDescent="0.4">
      <c r="A907" s="6">
        <f t="shared" si="34"/>
        <v>906</v>
      </c>
      <c r="B907" s="6" t="str">
        <f t="shared" si="33"/>
        <v>Policy906</v>
      </c>
      <c r="C907" s="7" t="s">
        <v>11</v>
      </c>
      <c r="D907" s="6">
        <v>2021</v>
      </c>
      <c r="E907" s="6">
        <v>2026</v>
      </c>
      <c r="F907" s="8">
        <v>30357</v>
      </c>
    </row>
    <row r="908" spans="1:6" x14ac:dyDescent="0.4">
      <c r="A908" s="6">
        <f t="shared" si="34"/>
        <v>907</v>
      </c>
      <c r="B908" s="6" t="str">
        <f t="shared" si="33"/>
        <v>Policy907</v>
      </c>
      <c r="C908" s="7" t="s">
        <v>11</v>
      </c>
      <c r="D908" s="6">
        <v>2024</v>
      </c>
      <c r="E908" s="6">
        <v>2025</v>
      </c>
      <c r="F908" s="8">
        <v>7259</v>
      </c>
    </row>
    <row r="909" spans="1:6" x14ac:dyDescent="0.4">
      <c r="A909" s="6">
        <f t="shared" si="34"/>
        <v>908</v>
      </c>
      <c r="B909" s="6" t="str">
        <f t="shared" si="33"/>
        <v>Policy908</v>
      </c>
      <c r="C909" s="7" t="s">
        <v>11</v>
      </c>
      <c r="D909" s="6">
        <v>2023</v>
      </c>
      <c r="E909" s="6">
        <v>2026</v>
      </c>
      <c r="F909" s="8">
        <v>1104</v>
      </c>
    </row>
    <row r="910" spans="1:6" x14ac:dyDescent="0.4">
      <c r="A910" s="6">
        <f t="shared" si="34"/>
        <v>909</v>
      </c>
      <c r="B910" s="6" t="str">
        <f t="shared" si="33"/>
        <v>Policy909</v>
      </c>
      <c r="C910" s="7" t="s">
        <v>11</v>
      </c>
      <c r="D910" s="6">
        <v>2024</v>
      </c>
      <c r="E910" s="6">
        <v>2026</v>
      </c>
      <c r="F910" s="8">
        <v>10073</v>
      </c>
    </row>
    <row r="911" spans="1:6" x14ac:dyDescent="0.4">
      <c r="A911" s="6">
        <f t="shared" si="34"/>
        <v>910</v>
      </c>
      <c r="B911" s="6" t="str">
        <f t="shared" si="33"/>
        <v>Policy910</v>
      </c>
      <c r="C911" s="7" t="s">
        <v>12</v>
      </c>
      <c r="D911" s="6">
        <v>2023</v>
      </c>
      <c r="E911" s="6">
        <v>2024</v>
      </c>
      <c r="F911" s="8">
        <v>4845060</v>
      </c>
    </row>
    <row r="912" spans="1:6" x14ac:dyDescent="0.4">
      <c r="A912" s="6">
        <f t="shared" si="34"/>
        <v>911</v>
      </c>
      <c r="B912" s="6" t="str">
        <f t="shared" si="33"/>
        <v>Policy911</v>
      </c>
      <c r="C912" s="7" t="s">
        <v>11</v>
      </c>
      <c r="D912" s="6">
        <v>2021</v>
      </c>
      <c r="E912" s="6">
        <v>2024</v>
      </c>
      <c r="F912" s="8">
        <v>36687</v>
      </c>
    </row>
    <row r="913" spans="1:6" x14ac:dyDescent="0.4">
      <c r="A913" s="6">
        <f t="shared" si="34"/>
        <v>912</v>
      </c>
      <c r="B913" s="6" t="str">
        <f t="shared" si="33"/>
        <v>Policy912</v>
      </c>
      <c r="C913" s="7" t="s">
        <v>11</v>
      </c>
      <c r="D913" s="6">
        <v>2022</v>
      </c>
      <c r="E913" s="6">
        <v>2024</v>
      </c>
      <c r="F913" s="8">
        <v>23415</v>
      </c>
    </row>
    <row r="914" spans="1:6" x14ac:dyDescent="0.4">
      <c r="A914" s="6">
        <f t="shared" si="34"/>
        <v>913</v>
      </c>
      <c r="B914" s="6" t="str">
        <f t="shared" si="33"/>
        <v>Policy913</v>
      </c>
      <c r="C914" s="7" t="s">
        <v>11</v>
      </c>
      <c r="D914" s="6">
        <v>2022</v>
      </c>
      <c r="E914" s="6">
        <v>2025</v>
      </c>
      <c r="F914" s="8">
        <v>34175</v>
      </c>
    </row>
    <row r="915" spans="1:6" x14ac:dyDescent="0.4">
      <c r="A915" s="6">
        <f t="shared" si="34"/>
        <v>914</v>
      </c>
      <c r="B915" s="6" t="str">
        <f t="shared" si="33"/>
        <v>Policy914</v>
      </c>
      <c r="C915" s="7" t="s">
        <v>11</v>
      </c>
      <c r="D915" s="6">
        <v>2022</v>
      </c>
      <c r="E915" s="6">
        <v>2025</v>
      </c>
      <c r="F915" s="8">
        <v>35279</v>
      </c>
    </row>
    <row r="916" spans="1:6" x14ac:dyDescent="0.4">
      <c r="A916" s="6">
        <f t="shared" si="34"/>
        <v>915</v>
      </c>
      <c r="B916" s="6" t="str">
        <f t="shared" si="33"/>
        <v>Policy915</v>
      </c>
      <c r="C916" s="7" t="s">
        <v>12</v>
      </c>
      <c r="D916" s="6">
        <v>2024</v>
      </c>
      <c r="E916" s="6">
        <v>2026</v>
      </c>
      <c r="F916" s="8">
        <v>2711971</v>
      </c>
    </row>
    <row r="917" spans="1:6" x14ac:dyDescent="0.4">
      <c r="A917" s="6">
        <f t="shared" si="34"/>
        <v>916</v>
      </c>
      <c r="B917" s="6" t="str">
        <f t="shared" si="33"/>
        <v>Policy916</v>
      </c>
      <c r="C917" s="7" t="s">
        <v>11</v>
      </c>
      <c r="D917" s="6">
        <v>2025</v>
      </c>
      <c r="E917" s="6">
        <v>2026</v>
      </c>
      <c r="F917" s="8">
        <v>8771</v>
      </c>
    </row>
    <row r="918" spans="1:6" x14ac:dyDescent="0.4">
      <c r="A918" s="6">
        <f t="shared" si="34"/>
        <v>917</v>
      </c>
      <c r="B918" s="6" t="str">
        <f t="shared" si="33"/>
        <v>Policy917</v>
      </c>
      <c r="C918" s="7" t="s">
        <v>12</v>
      </c>
      <c r="D918" s="6">
        <v>2024</v>
      </c>
      <c r="E918" s="6">
        <v>2026</v>
      </c>
      <c r="F918" s="8">
        <v>3140138</v>
      </c>
    </row>
    <row r="919" spans="1:6" x14ac:dyDescent="0.4">
      <c r="A919" s="6">
        <f t="shared" si="34"/>
        <v>918</v>
      </c>
      <c r="B919" s="6" t="str">
        <f t="shared" si="33"/>
        <v>Policy918</v>
      </c>
      <c r="C919" s="7" t="s">
        <v>11</v>
      </c>
      <c r="D919" s="6">
        <v>2025</v>
      </c>
      <c r="E919" s="6">
        <v>2026</v>
      </c>
      <c r="F919" s="8">
        <v>46080</v>
      </c>
    </row>
    <row r="920" spans="1:6" x14ac:dyDescent="0.4">
      <c r="A920" s="6">
        <f t="shared" si="34"/>
        <v>919</v>
      </c>
      <c r="B920" s="6" t="str">
        <f t="shared" si="33"/>
        <v>Policy919</v>
      </c>
      <c r="C920" s="7" t="s">
        <v>11</v>
      </c>
      <c r="D920" s="6">
        <v>2021</v>
      </c>
      <c r="E920" s="6">
        <v>2024</v>
      </c>
      <c r="F920" s="8">
        <v>3403</v>
      </c>
    </row>
    <row r="921" spans="1:6" x14ac:dyDescent="0.4">
      <c r="A921" s="6">
        <f t="shared" si="34"/>
        <v>920</v>
      </c>
      <c r="B921" s="6" t="str">
        <f t="shared" si="33"/>
        <v>Policy920</v>
      </c>
      <c r="C921" s="7" t="s">
        <v>12</v>
      </c>
      <c r="D921" s="6">
        <v>2022</v>
      </c>
      <c r="E921" s="6">
        <v>2026</v>
      </c>
      <c r="F921" s="8">
        <v>1193236</v>
      </c>
    </row>
    <row r="922" spans="1:6" x14ac:dyDescent="0.4">
      <c r="A922" s="6">
        <f t="shared" si="34"/>
        <v>921</v>
      </c>
      <c r="B922" s="6" t="str">
        <f t="shared" si="33"/>
        <v>Policy921</v>
      </c>
      <c r="C922" s="7" t="s">
        <v>11</v>
      </c>
      <c r="D922" s="6">
        <v>2023</v>
      </c>
      <c r="E922" s="6">
        <v>2025</v>
      </c>
      <c r="F922" s="8">
        <v>2158</v>
      </c>
    </row>
    <row r="923" spans="1:6" x14ac:dyDescent="0.4">
      <c r="A923" s="6">
        <f t="shared" si="34"/>
        <v>922</v>
      </c>
      <c r="B923" s="6" t="str">
        <f t="shared" si="33"/>
        <v>Policy922</v>
      </c>
      <c r="C923" s="7" t="s">
        <v>12</v>
      </c>
      <c r="D923" s="6">
        <v>2025</v>
      </c>
      <c r="E923" s="6">
        <v>2026</v>
      </c>
      <c r="F923" s="8">
        <v>2703686</v>
      </c>
    </row>
    <row r="924" spans="1:6" x14ac:dyDescent="0.4">
      <c r="A924" s="6">
        <f t="shared" si="34"/>
        <v>923</v>
      </c>
      <c r="B924" s="6" t="str">
        <f t="shared" si="33"/>
        <v>Policy923</v>
      </c>
      <c r="C924" s="7" t="s">
        <v>11</v>
      </c>
      <c r="D924" s="6">
        <v>2023</v>
      </c>
      <c r="E924" s="6">
        <v>2024</v>
      </c>
      <c r="F924" s="8">
        <v>32447</v>
      </c>
    </row>
    <row r="925" spans="1:6" x14ac:dyDescent="0.4">
      <c r="A925" s="6">
        <f t="shared" si="34"/>
        <v>924</v>
      </c>
      <c r="B925" s="6" t="str">
        <f t="shared" si="33"/>
        <v>Policy924</v>
      </c>
      <c r="C925" s="7" t="s">
        <v>11</v>
      </c>
      <c r="D925" s="6">
        <v>2025</v>
      </c>
      <c r="E925" s="6">
        <v>2026</v>
      </c>
      <c r="F925" s="8">
        <v>47979</v>
      </c>
    </row>
    <row r="926" spans="1:6" x14ac:dyDescent="0.4">
      <c r="A926" s="6">
        <f t="shared" si="34"/>
        <v>925</v>
      </c>
      <c r="B926" s="6" t="str">
        <f t="shared" si="33"/>
        <v>Policy925</v>
      </c>
      <c r="C926" s="7" t="s">
        <v>11</v>
      </c>
      <c r="D926" s="6">
        <v>2022</v>
      </c>
      <c r="E926" s="6">
        <v>2025</v>
      </c>
      <c r="F926" s="8">
        <v>45522</v>
      </c>
    </row>
    <row r="927" spans="1:6" x14ac:dyDescent="0.4">
      <c r="A927" s="6">
        <f t="shared" si="34"/>
        <v>926</v>
      </c>
      <c r="B927" s="6" t="str">
        <f t="shared" si="33"/>
        <v>Policy926</v>
      </c>
      <c r="C927" s="7" t="s">
        <v>11</v>
      </c>
      <c r="D927" s="6">
        <v>2023</v>
      </c>
      <c r="E927" s="6">
        <v>2026</v>
      </c>
      <c r="F927" s="8">
        <v>17352</v>
      </c>
    </row>
    <row r="928" spans="1:6" x14ac:dyDescent="0.4">
      <c r="A928" s="6">
        <f t="shared" si="34"/>
        <v>927</v>
      </c>
      <c r="B928" s="6" t="str">
        <f t="shared" si="33"/>
        <v>Policy927</v>
      </c>
      <c r="C928" s="7" t="s">
        <v>12</v>
      </c>
      <c r="D928" s="6">
        <v>2021</v>
      </c>
      <c r="E928" s="6">
        <v>2026</v>
      </c>
      <c r="F928" s="8">
        <v>3508237</v>
      </c>
    </row>
    <row r="929" spans="1:6" x14ac:dyDescent="0.4">
      <c r="A929" s="6">
        <f t="shared" si="34"/>
        <v>928</v>
      </c>
      <c r="B929" s="6" t="str">
        <f t="shared" si="33"/>
        <v>Policy928</v>
      </c>
      <c r="C929" s="7" t="s">
        <v>11</v>
      </c>
      <c r="D929" s="6">
        <v>2022</v>
      </c>
      <c r="E929" s="6">
        <v>2025</v>
      </c>
      <c r="F929" s="8">
        <v>39534</v>
      </c>
    </row>
    <row r="930" spans="1:6" x14ac:dyDescent="0.4">
      <c r="A930" s="6">
        <f t="shared" si="34"/>
        <v>929</v>
      </c>
      <c r="B930" s="6" t="str">
        <f t="shared" si="33"/>
        <v>Policy929</v>
      </c>
      <c r="C930" s="7" t="s">
        <v>12</v>
      </c>
      <c r="D930" s="6">
        <v>2025</v>
      </c>
      <c r="E930" s="6">
        <v>2026</v>
      </c>
      <c r="F930" s="8">
        <v>4994697</v>
      </c>
    </row>
    <row r="931" spans="1:6" x14ac:dyDescent="0.4">
      <c r="A931" s="6">
        <f t="shared" si="34"/>
        <v>930</v>
      </c>
      <c r="B931" s="6" t="str">
        <f t="shared" si="33"/>
        <v>Policy930</v>
      </c>
      <c r="C931" s="7" t="s">
        <v>11</v>
      </c>
      <c r="D931" s="6">
        <v>2023</v>
      </c>
      <c r="E931" s="6">
        <v>2026</v>
      </c>
      <c r="F931" s="8">
        <v>32565</v>
      </c>
    </row>
    <row r="932" spans="1:6" x14ac:dyDescent="0.4">
      <c r="A932" s="6">
        <f t="shared" si="34"/>
        <v>931</v>
      </c>
      <c r="B932" s="6" t="str">
        <f t="shared" si="33"/>
        <v>Policy931</v>
      </c>
      <c r="C932" s="7" t="s">
        <v>11</v>
      </c>
      <c r="D932" s="6">
        <v>2021</v>
      </c>
      <c r="E932" s="6">
        <v>2026</v>
      </c>
      <c r="F932" s="8">
        <v>17889</v>
      </c>
    </row>
    <row r="933" spans="1:6" x14ac:dyDescent="0.4">
      <c r="A933" s="6">
        <f t="shared" si="34"/>
        <v>932</v>
      </c>
      <c r="B933" s="6" t="str">
        <f t="shared" si="33"/>
        <v>Policy932</v>
      </c>
      <c r="C933" s="7" t="s">
        <v>12</v>
      </c>
      <c r="D933" s="6">
        <v>2025</v>
      </c>
      <c r="E933" s="6">
        <v>2026</v>
      </c>
      <c r="F933" s="8">
        <v>3495781</v>
      </c>
    </row>
    <row r="934" spans="1:6" x14ac:dyDescent="0.4">
      <c r="A934" s="6">
        <f t="shared" si="34"/>
        <v>933</v>
      </c>
      <c r="B934" s="6" t="str">
        <f t="shared" si="33"/>
        <v>Policy933</v>
      </c>
      <c r="C934" s="7" t="s">
        <v>12</v>
      </c>
      <c r="D934" s="6">
        <v>2023</v>
      </c>
      <c r="E934" s="6">
        <v>2025</v>
      </c>
      <c r="F934" s="8">
        <v>307770</v>
      </c>
    </row>
    <row r="935" spans="1:6" x14ac:dyDescent="0.4">
      <c r="A935" s="6">
        <f t="shared" si="34"/>
        <v>934</v>
      </c>
      <c r="B935" s="6" t="str">
        <f t="shared" si="33"/>
        <v>Policy934</v>
      </c>
      <c r="C935" s="7" t="s">
        <v>11</v>
      </c>
      <c r="D935" s="6">
        <v>2021</v>
      </c>
      <c r="E935" s="6">
        <v>2026</v>
      </c>
      <c r="F935" s="8">
        <v>25159</v>
      </c>
    </row>
    <row r="936" spans="1:6" x14ac:dyDescent="0.4">
      <c r="A936" s="6">
        <f t="shared" si="34"/>
        <v>935</v>
      </c>
      <c r="B936" s="6" t="str">
        <f t="shared" si="33"/>
        <v>Policy935</v>
      </c>
      <c r="C936" s="7" t="s">
        <v>11</v>
      </c>
      <c r="D936" s="6">
        <v>2025</v>
      </c>
      <c r="E936" s="6">
        <v>2026</v>
      </c>
      <c r="F936" s="8">
        <v>47800</v>
      </c>
    </row>
    <row r="937" spans="1:6" x14ac:dyDescent="0.4">
      <c r="A937" s="6">
        <f t="shared" si="34"/>
        <v>936</v>
      </c>
      <c r="B937" s="6" t="str">
        <f t="shared" si="33"/>
        <v>Policy936</v>
      </c>
      <c r="C937" s="7" t="s">
        <v>12</v>
      </c>
      <c r="D937" s="6">
        <v>2022</v>
      </c>
      <c r="E937" s="6">
        <v>2025</v>
      </c>
      <c r="F937" s="8">
        <v>195855</v>
      </c>
    </row>
    <row r="938" spans="1:6" x14ac:dyDescent="0.4">
      <c r="A938" s="6">
        <f t="shared" si="34"/>
        <v>937</v>
      </c>
      <c r="B938" s="6" t="str">
        <f t="shared" si="33"/>
        <v>Policy937</v>
      </c>
      <c r="C938" s="7" t="s">
        <v>11</v>
      </c>
      <c r="D938" s="6">
        <v>2024</v>
      </c>
      <c r="E938" s="6">
        <v>2025</v>
      </c>
      <c r="F938" s="8">
        <v>22699</v>
      </c>
    </row>
    <row r="939" spans="1:6" x14ac:dyDescent="0.4">
      <c r="A939" s="6">
        <f t="shared" si="34"/>
        <v>938</v>
      </c>
      <c r="B939" s="6" t="str">
        <f t="shared" si="33"/>
        <v>Policy938</v>
      </c>
      <c r="C939" s="7" t="s">
        <v>12</v>
      </c>
      <c r="D939" s="6">
        <v>2021</v>
      </c>
      <c r="E939" s="6">
        <v>2025</v>
      </c>
      <c r="F939" s="8">
        <v>2468977</v>
      </c>
    </row>
    <row r="940" spans="1:6" x14ac:dyDescent="0.4">
      <c r="A940" s="6">
        <f t="shared" si="34"/>
        <v>939</v>
      </c>
      <c r="B940" s="6" t="str">
        <f t="shared" si="33"/>
        <v>Policy939</v>
      </c>
      <c r="C940" s="7" t="s">
        <v>12</v>
      </c>
      <c r="D940" s="6">
        <v>2022</v>
      </c>
      <c r="E940" s="6">
        <v>2026</v>
      </c>
      <c r="F940" s="8">
        <v>3517896</v>
      </c>
    </row>
    <row r="941" spans="1:6" x14ac:dyDescent="0.4">
      <c r="A941" s="6">
        <f t="shared" si="34"/>
        <v>940</v>
      </c>
      <c r="B941" s="6" t="str">
        <f t="shared" si="33"/>
        <v>Policy940</v>
      </c>
      <c r="C941" s="7" t="s">
        <v>11</v>
      </c>
      <c r="D941" s="6">
        <v>2021</v>
      </c>
      <c r="E941" s="6">
        <v>2024</v>
      </c>
      <c r="F941" s="8">
        <v>43229</v>
      </c>
    </row>
    <row r="942" spans="1:6" x14ac:dyDescent="0.4">
      <c r="A942" s="6">
        <f t="shared" si="34"/>
        <v>941</v>
      </c>
      <c r="B942" s="6" t="str">
        <f t="shared" si="33"/>
        <v>Policy941</v>
      </c>
      <c r="C942" s="7" t="s">
        <v>11</v>
      </c>
      <c r="D942" s="6">
        <v>2021</v>
      </c>
      <c r="E942" s="6">
        <v>2022</v>
      </c>
      <c r="F942" s="8">
        <v>16761</v>
      </c>
    </row>
    <row r="943" spans="1:6" x14ac:dyDescent="0.4">
      <c r="A943" s="6">
        <f t="shared" si="34"/>
        <v>942</v>
      </c>
      <c r="B943" s="6" t="str">
        <f t="shared" si="33"/>
        <v>Policy942</v>
      </c>
      <c r="C943" s="7" t="s">
        <v>12</v>
      </c>
      <c r="D943" s="6">
        <v>2023</v>
      </c>
      <c r="E943" s="6">
        <v>2024</v>
      </c>
      <c r="F943" s="8">
        <v>3135945</v>
      </c>
    </row>
    <row r="944" spans="1:6" x14ac:dyDescent="0.4">
      <c r="A944" s="6">
        <f t="shared" si="34"/>
        <v>943</v>
      </c>
      <c r="B944" s="6" t="str">
        <f t="shared" si="33"/>
        <v>Policy943</v>
      </c>
      <c r="C944" s="7" t="s">
        <v>12</v>
      </c>
      <c r="D944" s="6">
        <v>2022</v>
      </c>
      <c r="E944" s="6">
        <v>2025</v>
      </c>
      <c r="F944" s="8">
        <v>2574122</v>
      </c>
    </row>
    <row r="945" spans="1:6" x14ac:dyDescent="0.4">
      <c r="A945" s="6">
        <f t="shared" si="34"/>
        <v>944</v>
      </c>
      <c r="B945" s="6" t="str">
        <f t="shared" si="33"/>
        <v>Policy944</v>
      </c>
      <c r="C945" s="7" t="s">
        <v>11</v>
      </c>
      <c r="D945" s="6">
        <v>2023</v>
      </c>
      <c r="E945" s="6">
        <v>2026</v>
      </c>
      <c r="F945" s="8">
        <v>31719</v>
      </c>
    </row>
    <row r="946" spans="1:6" x14ac:dyDescent="0.4">
      <c r="A946" s="6">
        <f t="shared" si="34"/>
        <v>945</v>
      </c>
      <c r="B946" s="6" t="str">
        <f t="shared" si="33"/>
        <v>Policy945</v>
      </c>
      <c r="C946" s="7" t="s">
        <v>12</v>
      </c>
      <c r="D946" s="6">
        <v>2023</v>
      </c>
      <c r="E946" s="6">
        <v>2025</v>
      </c>
      <c r="F946" s="8">
        <v>1251736</v>
      </c>
    </row>
    <row r="947" spans="1:6" x14ac:dyDescent="0.4">
      <c r="A947" s="6">
        <f t="shared" si="34"/>
        <v>946</v>
      </c>
      <c r="B947" s="6" t="str">
        <f t="shared" si="33"/>
        <v>Policy946</v>
      </c>
      <c r="C947" s="7" t="s">
        <v>12</v>
      </c>
      <c r="D947" s="6">
        <v>2024</v>
      </c>
      <c r="E947" s="6">
        <v>2025</v>
      </c>
      <c r="F947" s="8">
        <v>3195111</v>
      </c>
    </row>
    <row r="948" spans="1:6" x14ac:dyDescent="0.4">
      <c r="A948" s="6">
        <f t="shared" si="34"/>
        <v>947</v>
      </c>
      <c r="B948" s="6" t="str">
        <f t="shared" si="33"/>
        <v>Policy947</v>
      </c>
      <c r="C948" s="7" t="s">
        <v>11</v>
      </c>
      <c r="D948" s="6">
        <v>2025</v>
      </c>
      <c r="E948" s="6">
        <v>2026</v>
      </c>
      <c r="F948" s="8">
        <v>49613</v>
      </c>
    </row>
    <row r="949" spans="1:6" x14ac:dyDescent="0.4">
      <c r="A949" s="6">
        <f t="shared" si="34"/>
        <v>948</v>
      </c>
      <c r="B949" s="6" t="str">
        <f t="shared" si="33"/>
        <v>Policy948</v>
      </c>
      <c r="C949" s="7" t="s">
        <v>11</v>
      </c>
      <c r="D949" s="6">
        <v>2025</v>
      </c>
      <c r="E949" s="6">
        <v>2026</v>
      </c>
      <c r="F949" s="8">
        <v>8684</v>
      </c>
    </row>
    <row r="950" spans="1:6" x14ac:dyDescent="0.4">
      <c r="A950" s="6">
        <f t="shared" si="34"/>
        <v>949</v>
      </c>
      <c r="B950" s="6" t="str">
        <f t="shared" si="33"/>
        <v>Policy949</v>
      </c>
      <c r="C950" s="7" t="s">
        <v>12</v>
      </c>
      <c r="D950" s="6">
        <v>2024</v>
      </c>
      <c r="E950" s="6">
        <v>2025</v>
      </c>
      <c r="F950" s="8">
        <v>1221876</v>
      </c>
    </row>
    <row r="951" spans="1:6" x14ac:dyDescent="0.4">
      <c r="A951" s="6">
        <f t="shared" si="34"/>
        <v>950</v>
      </c>
      <c r="B951" s="6" t="str">
        <f t="shared" si="33"/>
        <v>Policy950</v>
      </c>
      <c r="C951" s="7" t="s">
        <v>12</v>
      </c>
      <c r="D951" s="6">
        <v>2021</v>
      </c>
      <c r="E951" s="6">
        <v>2024</v>
      </c>
      <c r="F951" s="8">
        <v>4737906</v>
      </c>
    </row>
    <row r="952" spans="1:6" x14ac:dyDescent="0.4">
      <c r="A952" s="6">
        <f t="shared" si="34"/>
        <v>951</v>
      </c>
      <c r="B952" s="6" t="str">
        <f t="shared" si="33"/>
        <v>Policy951</v>
      </c>
      <c r="C952" s="7" t="s">
        <v>11</v>
      </c>
      <c r="D952" s="6">
        <v>2022</v>
      </c>
      <c r="E952" s="6">
        <v>2024</v>
      </c>
      <c r="F952" s="8">
        <v>42781</v>
      </c>
    </row>
    <row r="953" spans="1:6" x14ac:dyDescent="0.4">
      <c r="A953" s="6">
        <f t="shared" si="34"/>
        <v>952</v>
      </c>
      <c r="B953" s="6" t="str">
        <f t="shared" si="33"/>
        <v>Policy952</v>
      </c>
      <c r="C953" s="7" t="s">
        <v>11</v>
      </c>
      <c r="D953" s="6">
        <v>2024</v>
      </c>
      <c r="E953" s="6">
        <v>2026</v>
      </c>
      <c r="F953" s="8">
        <v>4556</v>
      </c>
    </row>
    <row r="954" spans="1:6" x14ac:dyDescent="0.4">
      <c r="A954" s="6">
        <f t="shared" si="34"/>
        <v>953</v>
      </c>
      <c r="B954" s="6" t="str">
        <f t="shared" si="33"/>
        <v>Policy953</v>
      </c>
      <c r="C954" s="7" t="s">
        <v>12</v>
      </c>
      <c r="D954" s="6">
        <v>2022</v>
      </c>
      <c r="E954" s="6">
        <v>2024</v>
      </c>
      <c r="F954" s="8">
        <v>1945870</v>
      </c>
    </row>
    <row r="955" spans="1:6" x14ac:dyDescent="0.4">
      <c r="A955" s="6">
        <f t="shared" si="34"/>
        <v>954</v>
      </c>
      <c r="B955" s="6" t="str">
        <f t="shared" si="33"/>
        <v>Policy954</v>
      </c>
      <c r="C955" s="7" t="s">
        <v>11</v>
      </c>
      <c r="D955" s="6">
        <v>2025</v>
      </c>
      <c r="E955" s="6">
        <v>2026</v>
      </c>
      <c r="F955" s="8">
        <v>38203</v>
      </c>
    </row>
    <row r="956" spans="1:6" x14ac:dyDescent="0.4">
      <c r="A956" s="6">
        <f t="shared" si="34"/>
        <v>955</v>
      </c>
      <c r="B956" s="6" t="str">
        <f t="shared" si="33"/>
        <v>Policy955</v>
      </c>
      <c r="C956" s="7" t="s">
        <v>12</v>
      </c>
      <c r="D956" s="6">
        <v>2025</v>
      </c>
      <c r="E956" s="6">
        <v>2026</v>
      </c>
      <c r="F956" s="8">
        <v>4831977</v>
      </c>
    </row>
    <row r="957" spans="1:6" x14ac:dyDescent="0.4">
      <c r="A957" s="6">
        <f t="shared" si="34"/>
        <v>956</v>
      </c>
      <c r="B957" s="6" t="str">
        <f t="shared" si="33"/>
        <v>Policy956</v>
      </c>
      <c r="C957" s="7" t="s">
        <v>12</v>
      </c>
      <c r="D957" s="6">
        <v>2023</v>
      </c>
      <c r="E957" s="6">
        <v>2024</v>
      </c>
      <c r="F957" s="8">
        <v>657997</v>
      </c>
    </row>
    <row r="958" spans="1:6" x14ac:dyDescent="0.4">
      <c r="A958" s="6">
        <f t="shared" si="34"/>
        <v>957</v>
      </c>
      <c r="B958" s="6" t="str">
        <f t="shared" si="33"/>
        <v>Policy957</v>
      </c>
      <c r="C958" s="7" t="s">
        <v>12</v>
      </c>
      <c r="D958" s="6">
        <v>2023</v>
      </c>
      <c r="E958" s="6">
        <v>2026</v>
      </c>
      <c r="F958" s="8">
        <v>1490959</v>
      </c>
    </row>
    <row r="959" spans="1:6" x14ac:dyDescent="0.4">
      <c r="A959" s="6">
        <f t="shared" si="34"/>
        <v>958</v>
      </c>
      <c r="B959" s="6" t="str">
        <f t="shared" si="33"/>
        <v>Policy958</v>
      </c>
      <c r="C959" s="7" t="s">
        <v>11</v>
      </c>
      <c r="D959" s="6">
        <v>2025</v>
      </c>
      <c r="E959" s="6">
        <v>2026</v>
      </c>
      <c r="F959" s="8">
        <v>12170</v>
      </c>
    </row>
    <row r="960" spans="1:6" x14ac:dyDescent="0.4">
      <c r="A960" s="6">
        <f t="shared" si="34"/>
        <v>959</v>
      </c>
      <c r="B960" s="6" t="str">
        <f t="shared" si="33"/>
        <v>Policy959</v>
      </c>
      <c r="C960" s="7" t="s">
        <v>12</v>
      </c>
      <c r="D960" s="6">
        <v>2023</v>
      </c>
      <c r="E960" s="6">
        <v>2025</v>
      </c>
      <c r="F960" s="8">
        <v>871941</v>
      </c>
    </row>
    <row r="961" spans="1:6" x14ac:dyDescent="0.4">
      <c r="A961" s="6">
        <f t="shared" si="34"/>
        <v>960</v>
      </c>
      <c r="B961" s="6" t="str">
        <f t="shared" si="33"/>
        <v>Policy960</v>
      </c>
      <c r="C961" s="7" t="s">
        <v>12</v>
      </c>
      <c r="D961" s="6">
        <v>2023</v>
      </c>
      <c r="E961" s="6">
        <v>2025</v>
      </c>
      <c r="F961" s="8">
        <v>3404419</v>
      </c>
    </row>
    <row r="962" spans="1:6" x14ac:dyDescent="0.4">
      <c r="A962" s="6">
        <f t="shared" si="34"/>
        <v>961</v>
      </c>
      <c r="B962" s="6" t="str">
        <f t="shared" si="33"/>
        <v>Policy961</v>
      </c>
      <c r="C962" s="7" t="s">
        <v>12</v>
      </c>
      <c r="D962" s="6">
        <v>2021</v>
      </c>
      <c r="E962" s="6">
        <v>2023</v>
      </c>
      <c r="F962" s="8">
        <v>1427282</v>
      </c>
    </row>
    <row r="963" spans="1:6" x14ac:dyDescent="0.4">
      <c r="A963" s="6">
        <f t="shared" si="34"/>
        <v>962</v>
      </c>
      <c r="B963" s="6" t="str">
        <f t="shared" ref="B963:B1001" si="35">"Policy"&amp;A963</f>
        <v>Policy962</v>
      </c>
      <c r="C963" s="7" t="s">
        <v>12</v>
      </c>
      <c r="D963" s="6">
        <v>2022</v>
      </c>
      <c r="E963" s="6">
        <v>2024</v>
      </c>
      <c r="F963" s="8">
        <v>2112198</v>
      </c>
    </row>
    <row r="964" spans="1:6" x14ac:dyDescent="0.4">
      <c r="A964" s="6">
        <f t="shared" ref="A964:A1001" si="36">A963+1</f>
        <v>963</v>
      </c>
      <c r="B964" s="6" t="str">
        <f t="shared" si="35"/>
        <v>Policy963</v>
      </c>
      <c r="C964" s="7" t="s">
        <v>12</v>
      </c>
      <c r="D964" s="6">
        <v>2025</v>
      </c>
      <c r="E964" s="6">
        <v>2026</v>
      </c>
      <c r="F964" s="8">
        <v>1410580</v>
      </c>
    </row>
    <row r="965" spans="1:6" x14ac:dyDescent="0.4">
      <c r="A965" s="6">
        <f t="shared" si="36"/>
        <v>964</v>
      </c>
      <c r="B965" s="6" t="str">
        <f t="shared" si="35"/>
        <v>Policy964</v>
      </c>
      <c r="C965" s="7" t="s">
        <v>12</v>
      </c>
      <c r="D965" s="6">
        <v>2023</v>
      </c>
      <c r="E965" s="6">
        <v>2025</v>
      </c>
      <c r="F965" s="8">
        <v>877311</v>
      </c>
    </row>
    <row r="966" spans="1:6" x14ac:dyDescent="0.4">
      <c r="A966" s="6">
        <f t="shared" si="36"/>
        <v>965</v>
      </c>
      <c r="B966" s="6" t="str">
        <f t="shared" si="35"/>
        <v>Policy965</v>
      </c>
      <c r="C966" s="7" t="s">
        <v>12</v>
      </c>
      <c r="D966" s="6">
        <v>2023</v>
      </c>
      <c r="E966" s="6">
        <v>2024</v>
      </c>
      <c r="F966" s="8">
        <v>1474493</v>
      </c>
    </row>
    <row r="967" spans="1:6" x14ac:dyDescent="0.4">
      <c r="A967" s="6">
        <f t="shared" si="36"/>
        <v>966</v>
      </c>
      <c r="B967" s="6" t="str">
        <f t="shared" si="35"/>
        <v>Policy966</v>
      </c>
      <c r="C967" s="7" t="s">
        <v>11</v>
      </c>
      <c r="D967" s="6">
        <v>2025</v>
      </c>
      <c r="E967" s="6">
        <v>2026</v>
      </c>
      <c r="F967" s="8">
        <v>41476</v>
      </c>
    </row>
    <row r="968" spans="1:6" x14ac:dyDescent="0.4">
      <c r="A968" s="6">
        <f t="shared" si="36"/>
        <v>967</v>
      </c>
      <c r="B968" s="6" t="str">
        <f t="shared" si="35"/>
        <v>Policy967</v>
      </c>
      <c r="C968" s="7" t="s">
        <v>12</v>
      </c>
      <c r="D968" s="6">
        <v>2024</v>
      </c>
      <c r="E968" s="6">
        <v>2025</v>
      </c>
      <c r="F968" s="8">
        <v>2608079</v>
      </c>
    </row>
    <row r="969" spans="1:6" x14ac:dyDescent="0.4">
      <c r="A969" s="6">
        <f t="shared" si="36"/>
        <v>968</v>
      </c>
      <c r="B969" s="6" t="str">
        <f t="shared" si="35"/>
        <v>Policy968</v>
      </c>
      <c r="C969" s="7" t="s">
        <v>11</v>
      </c>
      <c r="D969" s="6">
        <v>2025</v>
      </c>
      <c r="E969" s="6">
        <v>2026</v>
      </c>
      <c r="F969" s="8">
        <v>6615</v>
      </c>
    </row>
    <row r="970" spans="1:6" x14ac:dyDescent="0.4">
      <c r="A970" s="6">
        <f t="shared" si="36"/>
        <v>969</v>
      </c>
      <c r="B970" s="6" t="str">
        <f t="shared" si="35"/>
        <v>Policy969</v>
      </c>
      <c r="C970" s="7" t="s">
        <v>12</v>
      </c>
      <c r="D970" s="6">
        <v>2025</v>
      </c>
      <c r="E970" s="6">
        <v>2026</v>
      </c>
      <c r="F970" s="8">
        <v>3757842</v>
      </c>
    </row>
    <row r="971" spans="1:6" x14ac:dyDescent="0.4">
      <c r="A971" s="6">
        <f t="shared" si="36"/>
        <v>970</v>
      </c>
      <c r="B971" s="6" t="str">
        <f t="shared" si="35"/>
        <v>Policy970</v>
      </c>
      <c r="C971" s="7" t="s">
        <v>11</v>
      </c>
      <c r="D971" s="6">
        <v>2023</v>
      </c>
      <c r="E971" s="6">
        <v>2025</v>
      </c>
      <c r="F971" s="8">
        <v>37539</v>
      </c>
    </row>
    <row r="972" spans="1:6" x14ac:dyDescent="0.4">
      <c r="A972" s="6">
        <f t="shared" si="36"/>
        <v>971</v>
      </c>
      <c r="B972" s="6" t="str">
        <f t="shared" si="35"/>
        <v>Policy971</v>
      </c>
      <c r="C972" s="7" t="s">
        <v>11</v>
      </c>
      <c r="D972" s="6">
        <v>2024</v>
      </c>
      <c r="E972" s="6">
        <v>2026</v>
      </c>
      <c r="F972" s="8">
        <v>6680</v>
      </c>
    </row>
    <row r="973" spans="1:6" x14ac:dyDescent="0.4">
      <c r="A973" s="6">
        <f t="shared" si="36"/>
        <v>972</v>
      </c>
      <c r="B973" s="6" t="str">
        <f t="shared" si="35"/>
        <v>Policy972</v>
      </c>
      <c r="C973" s="7" t="s">
        <v>12</v>
      </c>
      <c r="D973" s="6">
        <v>2023</v>
      </c>
      <c r="E973" s="6">
        <v>2025</v>
      </c>
      <c r="F973" s="8">
        <v>3143534</v>
      </c>
    </row>
    <row r="974" spans="1:6" x14ac:dyDescent="0.4">
      <c r="A974" s="6">
        <f t="shared" si="36"/>
        <v>973</v>
      </c>
      <c r="B974" s="6" t="str">
        <f t="shared" si="35"/>
        <v>Policy973</v>
      </c>
      <c r="C974" s="7" t="s">
        <v>11</v>
      </c>
      <c r="D974" s="6">
        <v>2023</v>
      </c>
      <c r="E974" s="6">
        <v>2024</v>
      </c>
      <c r="F974" s="8">
        <v>40445</v>
      </c>
    </row>
    <row r="975" spans="1:6" x14ac:dyDescent="0.4">
      <c r="A975" s="6">
        <f t="shared" si="36"/>
        <v>974</v>
      </c>
      <c r="B975" s="6" t="str">
        <f t="shared" si="35"/>
        <v>Policy974</v>
      </c>
      <c r="C975" s="7" t="s">
        <v>11</v>
      </c>
      <c r="D975" s="6">
        <v>2024</v>
      </c>
      <c r="E975" s="6">
        <v>2025</v>
      </c>
      <c r="F975" s="8">
        <v>41563</v>
      </c>
    </row>
    <row r="976" spans="1:6" x14ac:dyDescent="0.4">
      <c r="A976" s="6">
        <f t="shared" si="36"/>
        <v>975</v>
      </c>
      <c r="B976" s="6" t="str">
        <f t="shared" si="35"/>
        <v>Policy975</v>
      </c>
      <c r="C976" s="7" t="s">
        <v>11</v>
      </c>
      <c r="D976" s="6">
        <v>2024</v>
      </c>
      <c r="E976" s="6">
        <v>2025</v>
      </c>
      <c r="F976" s="8">
        <v>7347</v>
      </c>
    </row>
    <row r="977" spans="1:6" x14ac:dyDescent="0.4">
      <c r="A977" s="6">
        <f t="shared" si="36"/>
        <v>976</v>
      </c>
      <c r="B977" s="6" t="str">
        <f t="shared" si="35"/>
        <v>Policy976</v>
      </c>
      <c r="C977" s="7" t="s">
        <v>12</v>
      </c>
      <c r="D977" s="6">
        <v>2024</v>
      </c>
      <c r="E977" s="6">
        <v>2025</v>
      </c>
      <c r="F977" s="8">
        <v>44630</v>
      </c>
    </row>
    <row r="978" spans="1:6" x14ac:dyDescent="0.4">
      <c r="A978" s="6">
        <f t="shared" si="36"/>
        <v>977</v>
      </c>
      <c r="B978" s="6" t="str">
        <f t="shared" si="35"/>
        <v>Policy977</v>
      </c>
      <c r="C978" s="7" t="s">
        <v>12</v>
      </c>
      <c r="D978" s="6">
        <v>2022</v>
      </c>
      <c r="E978" s="6">
        <v>2024</v>
      </c>
      <c r="F978" s="8">
        <v>2990430</v>
      </c>
    </row>
    <row r="979" spans="1:6" x14ac:dyDescent="0.4">
      <c r="A979" s="6">
        <f t="shared" si="36"/>
        <v>978</v>
      </c>
      <c r="B979" s="6" t="str">
        <f t="shared" si="35"/>
        <v>Policy978</v>
      </c>
      <c r="C979" s="7" t="s">
        <v>12</v>
      </c>
      <c r="D979" s="6">
        <v>2024</v>
      </c>
      <c r="E979" s="6">
        <v>2025</v>
      </c>
      <c r="F979" s="8">
        <v>4525148</v>
      </c>
    </row>
    <row r="980" spans="1:6" x14ac:dyDescent="0.4">
      <c r="A980" s="6">
        <f t="shared" si="36"/>
        <v>979</v>
      </c>
      <c r="B980" s="6" t="str">
        <f t="shared" si="35"/>
        <v>Policy979</v>
      </c>
      <c r="C980" s="7" t="s">
        <v>11</v>
      </c>
      <c r="D980" s="6">
        <v>2022</v>
      </c>
      <c r="E980" s="6">
        <v>2023</v>
      </c>
      <c r="F980" s="8">
        <v>45391</v>
      </c>
    </row>
    <row r="981" spans="1:6" x14ac:dyDescent="0.4">
      <c r="A981" s="6">
        <f t="shared" si="36"/>
        <v>980</v>
      </c>
      <c r="B981" s="6" t="str">
        <f t="shared" si="35"/>
        <v>Policy980</v>
      </c>
      <c r="C981" s="7" t="s">
        <v>11</v>
      </c>
      <c r="D981" s="6">
        <v>2023</v>
      </c>
      <c r="E981" s="6">
        <v>2026</v>
      </c>
      <c r="F981" s="8">
        <v>43637</v>
      </c>
    </row>
    <row r="982" spans="1:6" x14ac:dyDescent="0.4">
      <c r="A982" s="6">
        <f t="shared" si="36"/>
        <v>981</v>
      </c>
      <c r="B982" s="6" t="str">
        <f t="shared" si="35"/>
        <v>Policy981</v>
      </c>
      <c r="C982" s="7" t="s">
        <v>11</v>
      </c>
      <c r="D982" s="6">
        <v>2023</v>
      </c>
      <c r="E982" s="6">
        <v>2025</v>
      </c>
      <c r="F982" s="8">
        <v>39275</v>
      </c>
    </row>
    <row r="983" spans="1:6" x14ac:dyDescent="0.4">
      <c r="A983" s="6">
        <f t="shared" si="36"/>
        <v>982</v>
      </c>
      <c r="B983" s="6" t="str">
        <f t="shared" si="35"/>
        <v>Policy982</v>
      </c>
      <c r="C983" s="7" t="s">
        <v>11</v>
      </c>
      <c r="D983" s="6">
        <v>2023</v>
      </c>
      <c r="E983" s="6">
        <v>2026</v>
      </c>
      <c r="F983" s="8">
        <v>45289</v>
      </c>
    </row>
    <row r="984" spans="1:6" x14ac:dyDescent="0.4">
      <c r="A984" s="6">
        <f t="shared" si="36"/>
        <v>983</v>
      </c>
      <c r="B984" s="6" t="str">
        <f t="shared" si="35"/>
        <v>Policy983</v>
      </c>
      <c r="C984" s="7" t="s">
        <v>12</v>
      </c>
      <c r="D984" s="6">
        <v>2023</v>
      </c>
      <c r="E984" s="6">
        <v>2024</v>
      </c>
      <c r="F984" s="8">
        <v>243540</v>
      </c>
    </row>
    <row r="985" spans="1:6" x14ac:dyDescent="0.4">
      <c r="A985" s="6">
        <f t="shared" si="36"/>
        <v>984</v>
      </c>
      <c r="B985" s="6" t="str">
        <f t="shared" si="35"/>
        <v>Policy984</v>
      </c>
      <c r="C985" s="7" t="s">
        <v>12</v>
      </c>
      <c r="D985" s="6">
        <v>2021</v>
      </c>
      <c r="E985" s="6">
        <v>2025</v>
      </c>
      <c r="F985" s="8">
        <v>4844515</v>
      </c>
    </row>
    <row r="986" spans="1:6" x14ac:dyDescent="0.4">
      <c r="A986" s="6">
        <f t="shared" si="36"/>
        <v>985</v>
      </c>
      <c r="B986" s="6" t="str">
        <f t="shared" si="35"/>
        <v>Policy985</v>
      </c>
      <c r="C986" s="7" t="s">
        <v>12</v>
      </c>
      <c r="D986" s="6">
        <v>2025</v>
      </c>
      <c r="E986" s="6">
        <v>2026</v>
      </c>
      <c r="F986" s="8">
        <v>2413733</v>
      </c>
    </row>
    <row r="987" spans="1:6" x14ac:dyDescent="0.4">
      <c r="A987" s="6">
        <f t="shared" si="36"/>
        <v>986</v>
      </c>
      <c r="B987" s="6" t="str">
        <f t="shared" si="35"/>
        <v>Policy986</v>
      </c>
      <c r="C987" s="7" t="s">
        <v>12</v>
      </c>
      <c r="D987" s="6">
        <v>2025</v>
      </c>
      <c r="E987" s="6">
        <v>2026</v>
      </c>
      <c r="F987" s="8">
        <v>4137054</v>
      </c>
    </row>
    <row r="988" spans="1:6" x14ac:dyDescent="0.4">
      <c r="A988" s="6">
        <f t="shared" si="36"/>
        <v>987</v>
      </c>
      <c r="B988" s="6" t="str">
        <f t="shared" si="35"/>
        <v>Policy987</v>
      </c>
      <c r="C988" s="7" t="s">
        <v>11</v>
      </c>
      <c r="D988" s="6">
        <v>2023</v>
      </c>
      <c r="E988" s="6">
        <v>2026</v>
      </c>
      <c r="F988" s="8">
        <v>38938</v>
      </c>
    </row>
    <row r="989" spans="1:6" x14ac:dyDescent="0.4">
      <c r="A989" s="6">
        <f t="shared" si="36"/>
        <v>988</v>
      </c>
      <c r="B989" s="6" t="str">
        <f t="shared" si="35"/>
        <v>Policy988</v>
      </c>
      <c r="C989" s="7" t="s">
        <v>12</v>
      </c>
      <c r="D989" s="6">
        <v>2022</v>
      </c>
      <c r="E989" s="6">
        <v>2024</v>
      </c>
      <c r="F989" s="8">
        <v>1890953</v>
      </c>
    </row>
    <row r="990" spans="1:6" x14ac:dyDescent="0.4">
      <c r="A990" s="6">
        <f t="shared" si="36"/>
        <v>989</v>
      </c>
      <c r="B990" s="6" t="str">
        <f t="shared" si="35"/>
        <v>Policy989</v>
      </c>
      <c r="C990" s="7" t="s">
        <v>12</v>
      </c>
      <c r="D990" s="6">
        <v>2022</v>
      </c>
      <c r="E990" s="6">
        <v>2026</v>
      </c>
      <c r="F990" s="8">
        <v>481802</v>
      </c>
    </row>
    <row r="991" spans="1:6" x14ac:dyDescent="0.4">
      <c r="A991" s="6">
        <f t="shared" si="36"/>
        <v>990</v>
      </c>
      <c r="B991" s="6" t="str">
        <f t="shared" si="35"/>
        <v>Policy990</v>
      </c>
      <c r="C991" s="7" t="s">
        <v>12</v>
      </c>
      <c r="D991" s="6">
        <v>2025</v>
      </c>
      <c r="E991" s="6">
        <v>2026</v>
      </c>
      <c r="F991" s="8">
        <v>4206862</v>
      </c>
    </row>
    <row r="992" spans="1:6" x14ac:dyDescent="0.4">
      <c r="A992" s="6">
        <f t="shared" si="36"/>
        <v>991</v>
      </c>
      <c r="B992" s="6" t="str">
        <f t="shared" si="35"/>
        <v>Policy991</v>
      </c>
      <c r="C992" s="7" t="s">
        <v>12</v>
      </c>
      <c r="D992" s="6">
        <v>2024</v>
      </c>
      <c r="E992" s="6">
        <v>2026</v>
      </c>
      <c r="F992" s="8">
        <v>87373</v>
      </c>
    </row>
    <row r="993" spans="1:6" x14ac:dyDescent="0.4">
      <c r="A993" s="6">
        <f t="shared" si="36"/>
        <v>992</v>
      </c>
      <c r="B993" s="6" t="str">
        <f t="shared" si="35"/>
        <v>Policy992</v>
      </c>
      <c r="C993" s="7" t="s">
        <v>12</v>
      </c>
      <c r="D993" s="6">
        <v>2024</v>
      </c>
      <c r="E993" s="6">
        <v>2025</v>
      </c>
      <c r="F993" s="8">
        <v>2612011</v>
      </c>
    </row>
    <row r="994" spans="1:6" x14ac:dyDescent="0.4">
      <c r="A994" s="6">
        <f t="shared" si="36"/>
        <v>993</v>
      </c>
      <c r="B994" s="6" t="str">
        <f t="shared" si="35"/>
        <v>Policy993</v>
      </c>
      <c r="C994" s="7" t="s">
        <v>11</v>
      </c>
      <c r="D994" s="6">
        <v>2022</v>
      </c>
      <c r="E994" s="6">
        <v>2024</v>
      </c>
      <c r="F994" s="8">
        <v>25255</v>
      </c>
    </row>
    <row r="995" spans="1:6" x14ac:dyDescent="0.4">
      <c r="A995" s="6">
        <f t="shared" si="36"/>
        <v>994</v>
      </c>
      <c r="B995" s="6" t="str">
        <f t="shared" si="35"/>
        <v>Policy994</v>
      </c>
      <c r="C995" s="7" t="s">
        <v>12</v>
      </c>
      <c r="D995" s="6">
        <v>2022</v>
      </c>
      <c r="E995" s="6">
        <v>2023</v>
      </c>
      <c r="F995" s="8">
        <v>4745717</v>
      </c>
    </row>
    <row r="996" spans="1:6" x14ac:dyDescent="0.4">
      <c r="A996" s="6">
        <f t="shared" si="36"/>
        <v>995</v>
      </c>
      <c r="B996" s="6" t="str">
        <f t="shared" si="35"/>
        <v>Policy995</v>
      </c>
      <c r="C996" s="7" t="s">
        <v>11</v>
      </c>
      <c r="D996" s="6">
        <v>2024</v>
      </c>
      <c r="E996" s="6">
        <v>2026</v>
      </c>
      <c r="F996" s="8">
        <v>3749</v>
      </c>
    </row>
    <row r="997" spans="1:6" x14ac:dyDescent="0.4">
      <c r="A997" s="6">
        <f t="shared" si="36"/>
        <v>996</v>
      </c>
      <c r="B997" s="6" t="str">
        <f t="shared" si="35"/>
        <v>Policy996</v>
      </c>
      <c r="C997" s="7" t="s">
        <v>11</v>
      </c>
      <c r="D997" s="6">
        <v>2022</v>
      </c>
      <c r="E997" s="6">
        <v>2024</v>
      </c>
      <c r="F997" s="8">
        <v>16479</v>
      </c>
    </row>
    <row r="998" spans="1:6" x14ac:dyDescent="0.4">
      <c r="A998" s="6">
        <f t="shared" si="36"/>
        <v>997</v>
      </c>
      <c r="B998" s="6" t="str">
        <f t="shared" si="35"/>
        <v>Policy997</v>
      </c>
      <c r="C998" s="7" t="s">
        <v>12</v>
      </c>
      <c r="D998" s="6">
        <v>2021</v>
      </c>
      <c r="E998" s="6">
        <v>2025</v>
      </c>
      <c r="F998" s="8">
        <v>4807805</v>
      </c>
    </row>
    <row r="999" spans="1:6" x14ac:dyDescent="0.4">
      <c r="A999" s="6">
        <f t="shared" si="36"/>
        <v>998</v>
      </c>
      <c r="B999" s="6" t="str">
        <f t="shared" si="35"/>
        <v>Policy998</v>
      </c>
      <c r="C999" s="7" t="s">
        <v>11</v>
      </c>
      <c r="D999" s="6">
        <v>2023</v>
      </c>
      <c r="E999" s="6">
        <v>2026</v>
      </c>
      <c r="F999" s="8">
        <v>36562</v>
      </c>
    </row>
    <row r="1000" spans="1:6" x14ac:dyDescent="0.4">
      <c r="A1000" s="6">
        <f t="shared" si="36"/>
        <v>999</v>
      </c>
      <c r="B1000" s="6" t="str">
        <f t="shared" si="35"/>
        <v>Policy999</v>
      </c>
      <c r="C1000" s="7" t="s">
        <v>11</v>
      </c>
      <c r="D1000" s="6">
        <v>2024</v>
      </c>
      <c r="E1000" s="6">
        <v>2025</v>
      </c>
      <c r="F1000" s="8">
        <v>3256</v>
      </c>
    </row>
    <row r="1001" spans="1:6" ht="16.5" thickBot="1" x14ac:dyDescent="0.45">
      <c r="A1001" s="12">
        <f t="shared" si="36"/>
        <v>1000</v>
      </c>
      <c r="B1001" s="12" t="str">
        <f t="shared" si="35"/>
        <v>Policy1000</v>
      </c>
      <c r="C1001" s="14" t="s">
        <v>12</v>
      </c>
      <c r="D1001" s="12">
        <v>2023</v>
      </c>
      <c r="E1001" s="12">
        <v>2024</v>
      </c>
      <c r="F1001" s="15">
        <v>4696646</v>
      </c>
    </row>
  </sheetData>
  <conditionalFormatting sqref="O3:O7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{82BC8897-9B15-440C-8A86-6C318454A68A}</x14:id>
        </ext>
      </extLst>
    </cfRule>
  </conditionalFormatting>
  <conditionalFormatting sqref="O8:O1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{06CCCC02-3C86-416D-8DB8-92E5C08A1269}</x14:id>
        </ext>
      </extLst>
    </cfRule>
  </conditionalFormatting>
  <hyperlinks>
    <hyperlink ref="H10" location="'🗂️ TOC'!A1" display="Return Back" xr:uid="{E487A682-F318-4053-9914-67164743A5DE}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BC8897-9B15-440C-8A86-6C318454A6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O3:O7</xm:sqref>
        </x14:conditionalFormatting>
        <x14:conditionalFormatting xmlns:xm="http://schemas.microsoft.com/office/excel/2006/main">
          <x14:cfRule type="dataBar" id="{06CCCC02-3C86-416D-8DB8-92E5C08A12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O8:O12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1A22B-61E1-4B76-982E-B767205DDF00}">
  <sheetPr codeName="Sheet5"/>
  <dimension ref="A1:AA1001"/>
  <sheetViews>
    <sheetView showGridLines="0" workbookViewId="0">
      <selection activeCell="H7" sqref="H7"/>
    </sheetView>
  </sheetViews>
  <sheetFormatPr defaultRowHeight="16" x14ac:dyDescent="0.4"/>
  <cols>
    <col min="1" max="1" width="8.6640625" style="1"/>
    <col min="2" max="2" width="14.83203125" style="1" customWidth="1"/>
    <col min="3" max="3" width="15.5" style="1" customWidth="1"/>
    <col min="4" max="4" width="20.33203125" style="1" customWidth="1"/>
    <col min="5" max="5" width="14.83203125" style="1" customWidth="1"/>
    <col min="6" max="6" width="14.5" style="1" customWidth="1"/>
    <col min="7" max="7" width="8.6640625" style="1"/>
    <col min="8" max="8" width="11.6640625" style="1" bestFit="1" customWidth="1"/>
    <col min="9" max="9" width="8.6640625" style="1"/>
    <col min="10" max="10" width="16.83203125" style="1" customWidth="1"/>
    <col min="11" max="12" width="8.6640625" style="1"/>
    <col min="13" max="13" width="19.25" style="1" customWidth="1"/>
    <col min="14" max="14" width="10.75" style="1" customWidth="1"/>
    <col min="15" max="24" width="8.6640625" style="1"/>
    <col min="25" max="25" width="6.4140625" style="1" customWidth="1"/>
    <col min="26" max="16384" width="8.6640625" style="1"/>
  </cols>
  <sheetData>
    <row r="1" spans="1:27" ht="16.5" thickBot="1" x14ac:dyDescent="0.45">
      <c r="A1" s="3" t="s">
        <v>5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10</v>
      </c>
      <c r="J1" s="4" t="s">
        <v>18</v>
      </c>
      <c r="K1" s="5"/>
      <c r="M1" s="4" t="s">
        <v>21</v>
      </c>
      <c r="N1" s="5"/>
      <c r="Q1" s="1" t="s">
        <v>23</v>
      </c>
      <c r="Y1" s="30" t="s">
        <v>22</v>
      </c>
      <c r="Z1" s="31"/>
      <c r="AA1" s="28"/>
    </row>
    <row r="2" spans="1:27" ht="22" thickBot="1" x14ac:dyDescent="0.6">
      <c r="A2" s="6">
        <v>1</v>
      </c>
      <c r="B2" s="6" t="str">
        <f>"Policy"&amp;A2</f>
        <v>Policy1</v>
      </c>
      <c r="C2" s="7" t="s">
        <v>11</v>
      </c>
      <c r="D2" s="6">
        <v>2021</v>
      </c>
      <c r="E2" s="6">
        <v>2023</v>
      </c>
      <c r="F2" s="8">
        <v>34585</v>
      </c>
      <c r="J2" s="9" t="s">
        <v>19</v>
      </c>
      <c r="K2" s="10"/>
      <c r="M2" s="9" t="s">
        <v>19</v>
      </c>
      <c r="N2" s="10"/>
      <c r="R2" s="27" t="s">
        <v>25</v>
      </c>
      <c r="S2" s="2"/>
      <c r="T2" s="2"/>
      <c r="U2" s="2"/>
      <c r="V2" s="2"/>
      <c r="Y2" s="9" t="s">
        <v>24</v>
      </c>
      <c r="Z2" s="10"/>
    </row>
    <row r="3" spans="1:27" ht="16.5" thickBot="1" x14ac:dyDescent="0.45">
      <c r="A3" s="6">
        <f>A2+1</f>
        <v>2</v>
      </c>
      <c r="B3" s="6" t="str">
        <f t="shared" ref="B3:B66" si="0">"Policy"&amp;A3</f>
        <v>Policy2</v>
      </c>
      <c r="C3" s="7" t="s">
        <v>12</v>
      </c>
      <c r="D3" s="6">
        <v>2025</v>
      </c>
      <c r="E3" s="6">
        <v>2026</v>
      </c>
      <c r="F3" s="8">
        <v>1169859</v>
      </c>
      <c r="J3" s="6" t="s">
        <v>20</v>
      </c>
      <c r="K3" s="11"/>
      <c r="M3" s="6" t="s">
        <v>20</v>
      </c>
      <c r="N3" s="11"/>
      <c r="Q3" s="26"/>
      <c r="R3" s="22">
        <v>1</v>
      </c>
      <c r="S3" s="23">
        <v>2</v>
      </c>
      <c r="T3" s="23">
        <v>3</v>
      </c>
      <c r="U3" s="23">
        <v>4</v>
      </c>
      <c r="V3" s="24">
        <v>5</v>
      </c>
      <c r="Y3" s="6" t="s">
        <v>25</v>
      </c>
      <c r="Z3" s="32"/>
    </row>
    <row r="4" spans="1:27" ht="16.5" thickBot="1" x14ac:dyDescent="0.45">
      <c r="A4" s="6">
        <f t="shared" ref="A4:A67" si="1">A3+1</f>
        <v>3</v>
      </c>
      <c r="B4" s="6" t="str">
        <f t="shared" si="0"/>
        <v>Policy3</v>
      </c>
      <c r="C4" s="7" t="s">
        <v>12</v>
      </c>
      <c r="D4" s="6">
        <v>2024</v>
      </c>
      <c r="E4" s="6">
        <v>2026</v>
      </c>
      <c r="F4" s="8">
        <v>4095664</v>
      </c>
      <c r="J4" s="12" t="s">
        <v>9</v>
      </c>
      <c r="K4" s="13"/>
      <c r="M4" s="12" t="s">
        <v>9</v>
      </c>
      <c r="N4" s="13"/>
      <c r="P4" s="101" t="s">
        <v>24</v>
      </c>
      <c r="Q4" s="6">
        <v>25</v>
      </c>
      <c r="R4" s="17">
        <v>4.4825548991601183E-2</v>
      </c>
      <c r="S4" s="17">
        <v>0.90487234637977998</v>
      </c>
      <c r="T4" s="17">
        <v>0.79493151415910035</v>
      </c>
      <c r="U4" s="17">
        <v>0.53099350537636258</v>
      </c>
      <c r="V4" s="18">
        <v>0.17965714270459998</v>
      </c>
      <c r="Y4" s="12" t="s">
        <v>26</v>
      </c>
      <c r="Z4" s="13"/>
    </row>
    <row r="5" spans="1:27" x14ac:dyDescent="0.4">
      <c r="A5" s="6">
        <f t="shared" si="1"/>
        <v>4</v>
      </c>
      <c r="B5" s="6" t="str">
        <f t="shared" si="0"/>
        <v>Policy4</v>
      </c>
      <c r="C5" s="7" t="s">
        <v>11</v>
      </c>
      <c r="D5" s="6">
        <v>2025</v>
      </c>
      <c r="E5" s="6">
        <v>2026</v>
      </c>
      <c r="F5" s="8">
        <v>20244</v>
      </c>
      <c r="P5" s="101"/>
      <c r="Q5" s="6">
        <v>26</v>
      </c>
      <c r="R5" s="1">
        <v>0.94630756030091867</v>
      </c>
      <c r="S5" s="1">
        <v>0.1850219868077988</v>
      </c>
      <c r="T5" s="1">
        <v>0.27092351733722664</v>
      </c>
      <c r="U5" s="1">
        <v>0.46667989849008629</v>
      </c>
      <c r="V5" s="11">
        <v>0.53718708800964354</v>
      </c>
    </row>
    <row r="6" spans="1:27" ht="16.5" thickBot="1" x14ac:dyDescent="0.45">
      <c r="A6" s="6">
        <f t="shared" si="1"/>
        <v>5</v>
      </c>
      <c r="B6" s="6" t="str">
        <f t="shared" si="0"/>
        <v>Policy5</v>
      </c>
      <c r="C6" s="7" t="s">
        <v>12</v>
      </c>
      <c r="D6" s="6">
        <v>2021</v>
      </c>
      <c r="E6" s="6">
        <v>2022</v>
      </c>
      <c r="F6" s="8">
        <v>1435082</v>
      </c>
      <c r="P6" s="101"/>
      <c r="Q6" s="6">
        <v>27</v>
      </c>
      <c r="R6" s="1">
        <v>0.31231900574596072</v>
      </c>
      <c r="S6" s="1">
        <v>0.63186936778420055</v>
      </c>
      <c r="T6" s="1">
        <v>0.26079337011789816</v>
      </c>
      <c r="U6" s="1">
        <v>0.24292457754245356</v>
      </c>
      <c r="V6" s="11">
        <v>0.86150759135883037</v>
      </c>
    </row>
    <row r="7" spans="1:27" ht="16.5" thickBot="1" x14ac:dyDescent="0.45">
      <c r="A7" s="6">
        <f t="shared" si="1"/>
        <v>6</v>
      </c>
      <c r="B7" s="6" t="str">
        <f t="shared" si="0"/>
        <v>Policy6</v>
      </c>
      <c r="C7" s="7" t="s">
        <v>11</v>
      </c>
      <c r="D7" s="6">
        <v>2023</v>
      </c>
      <c r="E7" s="6">
        <v>2025</v>
      </c>
      <c r="F7" s="8">
        <v>2904</v>
      </c>
      <c r="H7" s="100" t="s">
        <v>74</v>
      </c>
      <c r="P7" s="101"/>
      <c r="Q7" s="6">
        <v>28</v>
      </c>
      <c r="R7" s="1">
        <v>0.11271231946355798</v>
      </c>
      <c r="S7" s="1">
        <v>0.72283677625155318</v>
      </c>
      <c r="T7" s="1">
        <v>0.21813691819144643</v>
      </c>
      <c r="U7" s="1">
        <v>0.71262430822845557</v>
      </c>
      <c r="V7" s="11">
        <v>0.18506552495883133</v>
      </c>
    </row>
    <row r="8" spans="1:27" x14ac:dyDescent="0.4">
      <c r="A8" s="6">
        <f t="shared" si="1"/>
        <v>7</v>
      </c>
      <c r="B8" s="6" t="str">
        <f t="shared" si="0"/>
        <v>Policy7</v>
      </c>
      <c r="C8" s="7" t="s">
        <v>11</v>
      </c>
      <c r="D8" s="6">
        <v>2022</v>
      </c>
      <c r="E8" s="6">
        <v>2026</v>
      </c>
      <c r="F8" s="8">
        <v>3325</v>
      </c>
      <c r="P8" s="101"/>
      <c r="Q8" s="6">
        <v>29</v>
      </c>
      <c r="R8" s="1">
        <v>0.54852693435957578</v>
      </c>
      <c r="S8" s="1">
        <v>0.20640759525080754</v>
      </c>
      <c r="T8" s="1">
        <v>0.13334137065075657</v>
      </c>
      <c r="U8" s="1">
        <v>0.5640597489368121</v>
      </c>
      <c r="V8" s="11">
        <v>0.67979195833884687</v>
      </c>
    </row>
    <row r="9" spans="1:27" ht="16.5" thickBot="1" x14ac:dyDescent="0.45">
      <c r="A9" s="6">
        <f t="shared" si="1"/>
        <v>8</v>
      </c>
      <c r="B9" s="6" t="str">
        <f t="shared" si="0"/>
        <v>Policy8</v>
      </c>
      <c r="C9" s="7" t="s">
        <v>11</v>
      </c>
      <c r="D9" s="6">
        <v>2024</v>
      </c>
      <c r="E9" s="6">
        <v>2026</v>
      </c>
      <c r="F9" s="8">
        <v>8429</v>
      </c>
      <c r="P9" s="101"/>
      <c r="Q9" s="12">
        <v>30</v>
      </c>
      <c r="R9" s="21">
        <v>0.2462508317069857</v>
      </c>
      <c r="S9" s="21">
        <v>0.1347859907134088</v>
      </c>
      <c r="T9" s="21">
        <v>0.4529018803319701</v>
      </c>
      <c r="U9" s="21">
        <v>0.20949711836845097</v>
      </c>
      <c r="V9" s="13">
        <v>0.3079712370095824</v>
      </c>
    </row>
    <row r="10" spans="1:27" x14ac:dyDescent="0.4">
      <c r="A10" s="6">
        <f t="shared" si="1"/>
        <v>9</v>
      </c>
      <c r="B10" s="6" t="str">
        <f t="shared" si="0"/>
        <v>Policy9</v>
      </c>
      <c r="C10" s="7" t="s">
        <v>12</v>
      </c>
      <c r="D10" s="6">
        <v>2023</v>
      </c>
      <c r="E10" s="6">
        <v>2025</v>
      </c>
      <c r="F10" s="8">
        <v>200043</v>
      </c>
    </row>
    <row r="11" spans="1:27" x14ac:dyDescent="0.4">
      <c r="A11" s="6">
        <f t="shared" si="1"/>
        <v>10</v>
      </c>
      <c r="B11" s="6" t="str">
        <f t="shared" si="0"/>
        <v>Policy10</v>
      </c>
      <c r="C11" s="7" t="s">
        <v>12</v>
      </c>
      <c r="D11" s="6">
        <v>2023</v>
      </c>
      <c r="E11" s="6">
        <v>2026</v>
      </c>
      <c r="F11" s="8">
        <v>635963</v>
      </c>
    </row>
    <row r="12" spans="1:27" x14ac:dyDescent="0.4">
      <c r="A12" s="6">
        <f t="shared" si="1"/>
        <v>11</v>
      </c>
      <c r="B12" s="6" t="str">
        <f t="shared" si="0"/>
        <v>Policy11</v>
      </c>
      <c r="C12" s="7" t="s">
        <v>12</v>
      </c>
      <c r="D12" s="6">
        <v>2022</v>
      </c>
      <c r="E12" s="6">
        <v>2023</v>
      </c>
      <c r="F12" s="8">
        <v>265953</v>
      </c>
    </row>
    <row r="13" spans="1:27" x14ac:dyDescent="0.4">
      <c r="A13" s="6">
        <f t="shared" si="1"/>
        <v>12</v>
      </c>
      <c r="B13" s="6" t="str">
        <f t="shared" si="0"/>
        <v>Policy12</v>
      </c>
      <c r="C13" s="7" t="s">
        <v>12</v>
      </c>
      <c r="D13" s="6">
        <v>2023</v>
      </c>
      <c r="E13" s="6">
        <v>2025</v>
      </c>
      <c r="F13" s="8">
        <v>3576582</v>
      </c>
    </row>
    <row r="14" spans="1:27" x14ac:dyDescent="0.4">
      <c r="A14" s="6">
        <f t="shared" si="1"/>
        <v>13</v>
      </c>
      <c r="B14" s="6" t="str">
        <f t="shared" si="0"/>
        <v>Policy13</v>
      </c>
      <c r="C14" s="7" t="s">
        <v>12</v>
      </c>
      <c r="D14" s="6">
        <v>2021</v>
      </c>
      <c r="E14" s="6">
        <v>2024</v>
      </c>
      <c r="F14" s="8">
        <v>2832133</v>
      </c>
    </row>
    <row r="15" spans="1:27" x14ac:dyDescent="0.4">
      <c r="A15" s="6">
        <f t="shared" si="1"/>
        <v>14</v>
      </c>
      <c r="B15" s="6" t="str">
        <f t="shared" si="0"/>
        <v>Policy14</v>
      </c>
      <c r="C15" s="7" t="s">
        <v>11</v>
      </c>
      <c r="D15" s="6">
        <v>2023</v>
      </c>
      <c r="E15" s="6">
        <v>2024</v>
      </c>
      <c r="F15" s="8">
        <v>29153</v>
      </c>
    </row>
    <row r="16" spans="1:27" x14ac:dyDescent="0.4">
      <c r="A16" s="6">
        <f t="shared" si="1"/>
        <v>15</v>
      </c>
      <c r="B16" s="6" t="str">
        <f t="shared" si="0"/>
        <v>Policy15</v>
      </c>
      <c r="C16" s="7" t="s">
        <v>11</v>
      </c>
      <c r="D16" s="6">
        <v>2022</v>
      </c>
      <c r="E16" s="6">
        <v>2024</v>
      </c>
      <c r="F16" s="8">
        <v>22588</v>
      </c>
    </row>
    <row r="17" spans="1:6" x14ac:dyDescent="0.4">
      <c r="A17" s="6">
        <f t="shared" si="1"/>
        <v>16</v>
      </c>
      <c r="B17" s="6" t="str">
        <f t="shared" si="0"/>
        <v>Policy16</v>
      </c>
      <c r="C17" s="7" t="s">
        <v>12</v>
      </c>
      <c r="D17" s="6">
        <v>2023</v>
      </c>
      <c r="E17" s="6">
        <v>2026</v>
      </c>
      <c r="F17" s="8">
        <v>4009757</v>
      </c>
    </row>
    <row r="18" spans="1:6" x14ac:dyDescent="0.4">
      <c r="A18" s="6">
        <f t="shared" si="1"/>
        <v>17</v>
      </c>
      <c r="B18" s="6" t="str">
        <f t="shared" si="0"/>
        <v>Policy17</v>
      </c>
      <c r="C18" s="7" t="s">
        <v>11</v>
      </c>
      <c r="D18" s="6">
        <v>2021</v>
      </c>
      <c r="E18" s="6">
        <v>2022</v>
      </c>
      <c r="F18" s="8">
        <v>8884</v>
      </c>
    </row>
    <row r="19" spans="1:6" x14ac:dyDescent="0.4">
      <c r="A19" s="6">
        <f t="shared" si="1"/>
        <v>18</v>
      </c>
      <c r="B19" s="6" t="str">
        <f t="shared" si="0"/>
        <v>Policy18</v>
      </c>
      <c r="C19" s="7" t="s">
        <v>11</v>
      </c>
      <c r="D19" s="6">
        <v>2022</v>
      </c>
      <c r="E19" s="6">
        <v>2024</v>
      </c>
      <c r="F19" s="8">
        <v>18044</v>
      </c>
    </row>
    <row r="20" spans="1:6" x14ac:dyDescent="0.4">
      <c r="A20" s="6">
        <f t="shared" si="1"/>
        <v>19</v>
      </c>
      <c r="B20" s="6" t="str">
        <f t="shared" si="0"/>
        <v>Policy19</v>
      </c>
      <c r="C20" s="7" t="s">
        <v>11</v>
      </c>
      <c r="D20" s="6">
        <v>2022</v>
      </c>
      <c r="E20" s="6">
        <v>2026</v>
      </c>
      <c r="F20" s="8">
        <v>27358</v>
      </c>
    </row>
    <row r="21" spans="1:6" x14ac:dyDescent="0.4">
      <c r="A21" s="6">
        <f t="shared" si="1"/>
        <v>20</v>
      </c>
      <c r="B21" s="6" t="str">
        <f t="shared" si="0"/>
        <v>Policy20</v>
      </c>
      <c r="C21" s="7" t="s">
        <v>11</v>
      </c>
      <c r="D21" s="6">
        <v>2025</v>
      </c>
      <c r="E21" s="6">
        <v>2026</v>
      </c>
      <c r="F21" s="8">
        <v>36230</v>
      </c>
    </row>
    <row r="22" spans="1:6" x14ac:dyDescent="0.4">
      <c r="A22" s="6">
        <f t="shared" si="1"/>
        <v>21</v>
      </c>
      <c r="B22" s="6" t="str">
        <f t="shared" si="0"/>
        <v>Policy21</v>
      </c>
      <c r="C22" s="7" t="s">
        <v>12</v>
      </c>
      <c r="D22" s="6">
        <v>2025</v>
      </c>
      <c r="E22" s="6">
        <v>2026</v>
      </c>
      <c r="F22" s="8">
        <v>4209439</v>
      </c>
    </row>
    <row r="23" spans="1:6" x14ac:dyDescent="0.4">
      <c r="A23" s="6">
        <f t="shared" si="1"/>
        <v>22</v>
      </c>
      <c r="B23" s="6" t="str">
        <f t="shared" si="0"/>
        <v>Policy22</v>
      </c>
      <c r="C23" s="7" t="s">
        <v>11</v>
      </c>
      <c r="D23" s="6">
        <v>2024</v>
      </c>
      <c r="E23" s="6">
        <v>2026</v>
      </c>
      <c r="F23" s="8">
        <v>36383</v>
      </c>
    </row>
    <row r="24" spans="1:6" x14ac:dyDescent="0.4">
      <c r="A24" s="6">
        <f t="shared" si="1"/>
        <v>23</v>
      </c>
      <c r="B24" s="6" t="str">
        <f t="shared" si="0"/>
        <v>Policy23</v>
      </c>
      <c r="C24" s="7" t="s">
        <v>11</v>
      </c>
      <c r="D24" s="6">
        <v>2021</v>
      </c>
      <c r="E24" s="6">
        <v>2025</v>
      </c>
      <c r="F24" s="8">
        <v>49363</v>
      </c>
    </row>
    <row r="25" spans="1:6" x14ac:dyDescent="0.4">
      <c r="A25" s="6">
        <f t="shared" si="1"/>
        <v>24</v>
      </c>
      <c r="B25" s="6" t="str">
        <f t="shared" si="0"/>
        <v>Policy24</v>
      </c>
      <c r="C25" s="7" t="s">
        <v>12</v>
      </c>
      <c r="D25" s="6">
        <v>2025</v>
      </c>
      <c r="E25" s="6">
        <v>2026</v>
      </c>
      <c r="F25" s="8">
        <v>873170</v>
      </c>
    </row>
    <row r="26" spans="1:6" x14ac:dyDescent="0.4">
      <c r="A26" s="6">
        <f t="shared" si="1"/>
        <v>25</v>
      </c>
      <c r="B26" s="6" t="str">
        <f t="shared" si="0"/>
        <v>Policy25</v>
      </c>
      <c r="C26" s="7" t="s">
        <v>12</v>
      </c>
      <c r="D26" s="6">
        <v>2022</v>
      </c>
      <c r="E26" s="6">
        <v>2025</v>
      </c>
      <c r="F26" s="8">
        <v>2738733</v>
      </c>
    </row>
    <row r="27" spans="1:6" x14ac:dyDescent="0.4">
      <c r="A27" s="6">
        <f t="shared" si="1"/>
        <v>26</v>
      </c>
      <c r="B27" s="6" t="str">
        <f t="shared" si="0"/>
        <v>Policy26</v>
      </c>
      <c r="C27" s="7" t="s">
        <v>12</v>
      </c>
      <c r="D27" s="6">
        <v>2025</v>
      </c>
      <c r="E27" s="6">
        <v>2026</v>
      </c>
      <c r="F27" s="8">
        <v>3680452</v>
      </c>
    </row>
    <row r="28" spans="1:6" x14ac:dyDescent="0.4">
      <c r="A28" s="6">
        <f t="shared" si="1"/>
        <v>27</v>
      </c>
      <c r="B28" s="6" t="str">
        <f t="shared" si="0"/>
        <v>Policy27</v>
      </c>
      <c r="C28" s="7" t="s">
        <v>11</v>
      </c>
      <c r="D28" s="6">
        <v>2021</v>
      </c>
      <c r="E28" s="6">
        <v>2024</v>
      </c>
      <c r="F28" s="8">
        <v>35892</v>
      </c>
    </row>
    <row r="29" spans="1:6" x14ac:dyDescent="0.4">
      <c r="A29" s="6">
        <f t="shared" si="1"/>
        <v>28</v>
      </c>
      <c r="B29" s="6" t="str">
        <f t="shared" si="0"/>
        <v>Policy28</v>
      </c>
      <c r="C29" s="7" t="s">
        <v>11</v>
      </c>
      <c r="D29" s="6">
        <v>2024</v>
      </c>
      <c r="E29" s="6">
        <v>2025</v>
      </c>
      <c r="F29" s="8">
        <v>48234</v>
      </c>
    </row>
    <row r="30" spans="1:6" x14ac:dyDescent="0.4">
      <c r="A30" s="6">
        <f t="shared" si="1"/>
        <v>29</v>
      </c>
      <c r="B30" s="6" t="str">
        <f t="shared" si="0"/>
        <v>Policy29</v>
      </c>
      <c r="C30" s="7" t="s">
        <v>11</v>
      </c>
      <c r="D30" s="6">
        <v>2022</v>
      </c>
      <c r="E30" s="6">
        <v>2024</v>
      </c>
      <c r="F30" s="8">
        <v>47395</v>
      </c>
    </row>
    <row r="31" spans="1:6" x14ac:dyDescent="0.4">
      <c r="A31" s="6">
        <f t="shared" si="1"/>
        <v>30</v>
      </c>
      <c r="B31" s="6" t="str">
        <f t="shared" si="0"/>
        <v>Policy30</v>
      </c>
      <c r="C31" s="7" t="s">
        <v>12</v>
      </c>
      <c r="D31" s="6">
        <v>2023</v>
      </c>
      <c r="E31" s="6">
        <v>2026</v>
      </c>
      <c r="F31" s="8">
        <v>3147164</v>
      </c>
    </row>
    <row r="32" spans="1:6" x14ac:dyDescent="0.4">
      <c r="A32" s="6">
        <f t="shared" si="1"/>
        <v>31</v>
      </c>
      <c r="B32" s="6" t="str">
        <f t="shared" si="0"/>
        <v>Policy31</v>
      </c>
      <c r="C32" s="7" t="s">
        <v>12</v>
      </c>
      <c r="D32" s="6">
        <v>2023</v>
      </c>
      <c r="E32" s="6">
        <v>2026</v>
      </c>
      <c r="F32" s="8">
        <v>964227</v>
      </c>
    </row>
    <row r="33" spans="1:6" x14ac:dyDescent="0.4">
      <c r="A33" s="6">
        <f t="shared" si="1"/>
        <v>32</v>
      </c>
      <c r="B33" s="6" t="str">
        <f t="shared" si="0"/>
        <v>Policy32</v>
      </c>
      <c r="C33" s="7" t="s">
        <v>11</v>
      </c>
      <c r="D33" s="6">
        <v>2023</v>
      </c>
      <c r="E33" s="6">
        <v>2025</v>
      </c>
      <c r="F33" s="8">
        <v>34070</v>
      </c>
    </row>
    <row r="34" spans="1:6" x14ac:dyDescent="0.4">
      <c r="A34" s="6">
        <f t="shared" si="1"/>
        <v>33</v>
      </c>
      <c r="B34" s="6" t="str">
        <f t="shared" si="0"/>
        <v>Policy33</v>
      </c>
      <c r="C34" s="7" t="s">
        <v>12</v>
      </c>
      <c r="D34" s="6">
        <v>2025</v>
      </c>
      <c r="E34" s="6">
        <v>2026</v>
      </c>
      <c r="F34" s="8">
        <v>902880</v>
      </c>
    </row>
    <row r="35" spans="1:6" x14ac:dyDescent="0.4">
      <c r="A35" s="6">
        <f t="shared" si="1"/>
        <v>34</v>
      </c>
      <c r="B35" s="6" t="str">
        <f t="shared" si="0"/>
        <v>Policy34</v>
      </c>
      <c r="C35" s="7" t="s">
        <v>11</v>
      </c>
      <c r="D35" s="6">
        <v>2022</v>
      </c>
      <c r="E35" s="6">
        <v>2025</v>
      </c>
      <c r="F35" s="8">
        <v>6553</v>
      </c>
    </row>
    <row r="36" spans="1:6" x14ac:dyDescent="0.4">
      <c r="A36" s="6">
        <f t="shared" si="1"/>
        <v>35</v>
      </c>
      <c r="B36" s="6" t="str">
        <f t="shared" si="0"/>
        <v>Policy35</v>
      </c>
      <c r="C36" s="7" t="s">
        <v>12</v>
      </c>
      <c r="D36" s="6">
        <v>2024</v>
      </c>
      <c r="E36" s="6">
        <v>2026</v>
      </c>
      <c r="F36" s="8">
        <v>747647</v>
      </c>
    </row>
    <row r="37" spans="1:6" x14ac:dyDescent="0.4">
      <c r="A37" s="6">
        <f t="shared" si="1"/>
        <v>36</v>
      </c>
      <c r="B37" s="6" t="str">
        <f t="shared" si="0"/>
        <v>Policy36</v>
      </c>
      <c r="C37" s="7" t="s">
        <v>11</v>
      </c>
      <c r="D37" s="6">
        <v>2025</v>
      </c>
      <c r="E37" s="6">
        <v>2026</v>
      </c>
      <c r="F37" s="8">
        <v>32920</v>
      </c>
    </row>
    <row r="38" spans="1:6" x14ac:dyDescent="0.4">
      <c r="A38" s="6">
        <f t="shared" si="1"/>
        <v>37</v>
      </c>
      <c r="B38" s="6" t="str">
        <f t="shared" si="0"/>
        <v>Policy37</v>
      </c>
      <c r="C38" s="7" t="s">
        <v>12</v>
      </c>
      <c r="D38" s="6">
        <v>2023</v>
      </c>
      <c r="E38" s="6">
        <v>2025</v>
      </c>
      <c r="F38" s="8">
        <v>3257008</v>
      </c>
    </row>
    <row r="39" spans="1:6" x14ac:dyDescent="0.4">
      <c r="A39" s="6">
        <f t="shared" si="1"/>
        <v>38</v>
      </c>
      <c r="B39" s="6" t="str">
        <f t="shared" si="0"/>
        <v>Policy38</v>
      </c>
      <c r="C39" s="7" t="s">
        <v>11</v>
      </c>
      <c r="D39" s="6">
        <v>2023</v>
      </c>
      <c r="E39" s="6">
        <v>2026</v>
      </c>
      <c r="F39" s="8">
        <v>3654</v>
      </c>
    </row>
    <row r="40" spans="1:6" x14ac:dyDescent="0.4">
      <c r="A40" s="6">
        <f t="shared" si="1"/>
        <v>39</v>
      </c>
      <c r="B40" s="6" t="str">
        <f t="shared" si="0"/>
        <v>Policy39</v>
      </c>
      <c r="C40" s="7" t="s">
        <v>11</v>
      </c>
      <c r="D40" s="6">
        <v>2023</v>
      </c>
      <c r="E40" s="6">
        <v>2025</v>
      </c>
      <c r="F40" s="8">
        <v>13056</v>
      </c>
    </row>
    <row r="41" spans="1:6" x14ac:dyDescent="0.4">
      <c r="A41" s="6">
        <f t="shared" si="1"/>
        <v>40</v>
      </c>
      <c r="B41" s="6" t="str">
        <f t="shared" si="0"/>
        <v>Policy40</v>
      </c>
      <c r="C41" s="7" t="s">
        <v>11</v>
      </c>
      <c r="D41" s="6">
        <v>2025</v>
      </c>
      <c r="E41" s="6">
        <v>2026</v>
      </c>
      <c r="F41" s="8">
        <v>9746</v>
      </c>
    </row>
    <row r="42" spans="1:6" x14ac:dyDescent="0.4">
      <c r="A42" s="6">
        <f t="shared" si="1"/>
        <v>41</v>
      </c>
      <c r="B42" s="6" t="str">
        <f t="shared" si="0"/>
        <v>Policy41</v>
      </c>
      <c r="C42" s="7" t="s">
        <v>12</v>
      </c>
      <c r="D42" s="6">
        <v>2024</v>
      </c>
      <c r="E42" s="6">
        <v>2025</v>
      </c>
      <c r="F42" s="8">
        <v>4367690</v>
      </c>
    </row>
    <row r="43" spans="1:6" x14ac:dyDescent="0.4">
      <c r="A43" s="6">
        <f t="shared" si="1"/>
        <v>42</v>
      </c>
      <c r="B43" s="6" t="str">
        <f t="shared" si="0"/>
        <v>Policy42</v>
      </c>
      <c r="C43" s="7" t="s">
        <v>12</v>
      </c>
      <c r="D43" s="6">
        <v>2025</v>
      </c>
      <c r="E43" s="6">
        <v>2026</v>
      </c>
      <c r="F43" s="8">
        <v>237635</v>
      </c>
    </row>
    <row r="44" spans="1:6" x14ac:dyDescent="0.4">
      <c r="A44" s="6">
        <f t="shared" si="1"/>
        <v>43</v>
      </c>
      <c r="B44" s="6" t="str">
        <f t="shared" si="0"/>
        <v>Policy43</v>
      </c>
      <c r="C44" s="7" t="s">
        <v>12</v>
      </c>
      <c r="D44" s="6">
        <v>2025</v>
      </c>
      <c r="E44" s="6">
        <v>2026</v>
      </c>
      <c r="F44" s="8">
        <v>4573300</v>
      </c>
    </row>
    <row r="45" spans="1:6" x14ac:dyDescent="0.4">
      <c r="A45" s="6">
        <f t="shared" si="1"/>
        <v>44</v>
      </c>
      <c r="B45" s="6" t="str">
        <f t="shared" si="0"/>
        <v>Policy44</v>
      </c>
      <c r="C45" s="7" t="s">
        <v>12</v>
      </c>
      <c r="D45" s="6">
        <v>2024</v>
      </c>
      <c r="E45" s="6">
        <v>2025</v>
      </c>
      <c r="F45" s="8">
        <v>2921357</v>
      </c>
    </row>
    <row r="46" spans="1:6" x14ac:dyDescent="0.4">
      <c r="A46" s="6">
        <f t="shared" si="1"/>
        <v>45</v>
      </c>
      <c r="B46" s="6" t="str">
        <f t="shared" si="0"/>
        <v>Policy45</v>
      </c>
      <c r="C46" s="7" t="s">
        <v>12</v>
      </c>
      <c r="D46" s="6">
        <v>2021</v>
      </c>
      <c r="E46" s="6">
        <v>2025</v>
      </c>
      <c r="F46" s="8">
        <v>2441277</v>
      </c>
    </row>
    <row r="47" spans="1:6" x14ac:dyDescent="0.4">
      <c r="A47" s="6">
        <f t="shared" si="1"/>
        <v>46</v>
      </c>
      <c r="B47" s="6" t="str">
        <f t="shared" si="0"/>
        <v>Policy46</v>
      </c>
      <c r="C47" s="7" t="s">
        <v>11</v>
      </c>
      <c r="D47" s="6">
        <v>2023</v>
      </c>
      <c r="E47" s="6">
        <v>2026</v>
      </c>
      <c r="F47" s="8">
        <v>44218</v>
      </c>
    </row>
    <row r="48" spans="1:6" x14ac:dyDescent="0.4">
      <c r="A48" s="6">
        <f t="shared" si="1"/>
        <v>47</v>
      </c>
      <c r="B48" s="6" t="str">
        <f t="shared" si="0"/>
        <v>Policy47</v>
      </c>
      <c r="C48" s="7" t="s">
        <v>12</v>
      </c>
      <c r="D48" s="6">
        <v>2023</v>
      </c>
      <c r="E48" s="6">
        <v>2026</v>
      </c>
      <c r="F48" s="8">
        <v>3917941</v>
      </c>
    </row>
    <row r="49" spans="1:6" x14ac:dyDescent="0.4">
      <c r="A49" s="6">
        <f t="shared" si="1"/>
        <v>48</v>
      </c>
      <c r="B49" s="6" t="str">
        <f t="shared" si="0"/>
        <v>Policy48</v>
      </c>
      <c r="C49" s="7" t="s">
        <v>11</v>
      </c>
      <c r="D49" s="6">
        <v>2022</v>
      </c>
      <c r="E49" s="6">
        <v>2026</v>
      </c>
      <c r="F49" s="8">
        <v>5418</v>
      </c>
    </row>
    <row r="50" spans="1:6" x14ac:dyDescent="0.4">
      <c r="A50" s="6">
        <f t="shared" si="1"/>
        <v>49</v>
      </c>
      <c r="B50" s="6" t="str">
        <f t="shared" si="0"/>
        <v>Policy49</v>
      </c>
      <c r="C50" s="7" t="s">
        <v>11</v>
      </c>
      <c r="D50" s="6">
        <v>2021</v>
      </c>
      <c r="E50" s="6">
        <v>2022</v>
      </c>
      <c r="F50" s="8">
        <v>22309</v>
      </c>
    </row>
    <row r="51" spans="1:6" x14ac:dyDescent="0.4">
      <c r="A51" s="6">
        <f t="shared" si="1"/>
        <v>50</v>
      </c>
      <c r="B51" s="6" t="str">
        <f t="shared" si="0"/>
        <v>Policy50</v>
      </c>
      <c r="C51" s="7" t="s">
        <v>12</v>
      </c>
      <c r="D51" s="6">
        <v>2021</v>
      </c>
      <c r="E51" s="6">
        <v>2024</v>
      </c>
      <c r="F51" s="8">
        <v>4678392</v>
      </c>
    </row>
    <row r="52" spans="1:6" x14ac:dyDescent="0.4">
      <c r="A52" s="6">
        <f t="shared" si="1"/>
        <v>51</v>
      </c>
      <c r="B52" s="6" t="str">
        <f t="shared" si="0"/>
        <v>Policy51</v>
      </c>
      <c r="C52" s="7" t="s">
        <v>11</v>
      </c>
      <c r="D52" s="6">
        <v>2022</v>
      </c>
      <c r="E52" s="6">
        <v>2025</v>
      </c>
      <c r="F52" s="8">
        <v>8937</v>
      </c>
    </row>
    <row r="53" spans="1:6" x14ac:dyDescent="0.4">
      <c r="A53" s="6">
        <f t="shared" si="1"/>
        <v>52</v>
      </c>
      <c r="B53" s="6" t="str">
        <f t="shared" si="0"/>
        <v>Policy52</v>
      </c>
      <c r="C53" s="7" t="s">
        <v>11</v>
      </c>
      <c r="D53" s="6">
        <v>2025</v>
      </c>
      <c r="E53" s="6">
        <v>2026</v>
      </c>
      <c r="F53" s="8">
        <v>6500</v>
      </c>
    </row>
    <row r="54" spans="1:6" x14ac:dyDescent="0.4">
      <c r="A54" s="6">
        <f t="shared" si="1"/>
        <v>53</v>
      </c>
      <c r="B54" s="6" t="str">
        <f t="shared" si="0"/>
        <v>Policy53</v>
      </c>
      <c r="C54" s="7" t="s">
        <v>12</v>
      </c>
      <c r="D54" s="6">
        <v>2023</v>
      </c>
      <c r="E54" s="6">
        <v>2026</v>
      </c>
      <c r="F54" s="8">
        <v>4175571</v>
      </c>
    </row>
    <row r="55" spans="1:6" x14ac:dyDescent="0.4">
      <c r="A55" s="6">
        <f t="shared" si="1"/>
        <v>54</v>
      </c>
      <c r="B55" s="6" t="str">
        <f t="shared" si="0"/>
        <v>Policy54</v>
      </c>
      <c r="C55" s="7" t="s">
        <v>12</v>
      </c>
      <c r="D55" s="6">
        <v>2024</v>
      </c>
      <c r="E55" s="6">
        <v>2025</v>
      </c>
      <c r="F55" s="8">
        <v>337491</v>
      </c>
    </row>
    <row r="56" spans="1:6" x14ac:dyDescent="0.4">
      <c r="A56" s="6">
        <f t="shared" si="1"/>
        <v>55</v>
      </c>
      <c r="B56" s="6" t="str">
        <f t="shared" si="0"/>
        <v>Policy55</v>
      </c>
      <c r="C56" s="7" t="s">
        <v>12</v>
      </c>
      <c r="D56" s="6">
        <v>2025</v>
      </c>
      <c r="E56" s="6">
        <v>2026</v>
      </c>
      <c r="F56" s="8">
        <v>2465835</v>
      </c>
    </row>
    <row r="57" spans="1:6" x14ac:dyDescent="0.4">
      <c r="A57" s="6">
        <f t="shared" si="1"/>
        <v>56</v>
      </c>
      <c r="B57" s="6" t="str">
        <f t="shared" si="0"/>
        <v>Policy56</v>
      </c>
      <c r="C57" s="7" t="s">
        <v>11</v>
      </c>
      <c r="D57" s="6">
        <v>2022</v>
      </c>
      <c r="E57" s="6">
        <v>2024</v>
      </c>
      <c r="F57" s="8">
        <v>1069</v>
      </c>
    </row>
    <row r="58" spans="1:6" x14ac:dyDescent="0.4">
      <c r="A58" s="6">
        <f t="shared" si="1"/>
        <v>57</v>
      </c>
      <c r="B58" s="6" t="str">
        <f t="shared" si="0"/>
        <v>Policy57</v>
      </c>
      <c r="C58" s="7" t="s">
        <v>12</v>
      </c>
      <c r="D58" s="6">
        <v>2025</v>
      </c>
      <c r="E58" s="6">
        <v>2026</v>
      </c>
      <c r="F58" s="8">
        <v>4156367</v>
      </c>
    </row>
    <row r="59" spans="1:6" x14ac:dyDescent="0.4">
      <c r="A59" s="6">
        <f t="shared" si="1"/>
        <v>58</v>
      </c>
      <c r="B59" s="6" t="str">
        <f t="shared" si="0"/>
        <v>Policy58</v>
      </c>
      <c r="C59" s="7" t="s">
        <v>12</v>
      </c>
      <c r="D59" s="6">
        <v>2024</v>
      </c>
      <c r="E59" s="6">
        <v>2025</v>
      </c>
      <c r="F59" s="8">
        <v>2954921</v>
      </c>
    </row>
    <row r="60" spans="1:6" x14ac:dyDescent="0.4">
      <c r="A60" s="6">
        <f t="shared" si="1"/>
        <v>59</v>
      </c>
      <c r="B60" s="6" t="str">
        <f t="shared" si="0"/>
        <v>Policy59</v>
      </c>
      <c r="C60" s="7" t="s">
        <v>11</v>
      </c>
      <c r="D60" s="6">
        <v>2025</v>
      </c>
      <c r="E60" s="6">
        <v>2026</v>
      </c>
      <c r="F60" s="8">
        <v>48470</v>
      </c>
    </row>
    <row r="61" spans="1:6" x14ac:dyDescent="0.4">
      <c r="A61" s="6">
        <f t="shared" si="1"/>
        <v>60</v>
      </c>
      <c r="B61" s="6" t="str">
        <f t="shared" si="0"/>
        <v>Policy60</v>
      </c>
      <c r="C61" s="7" t="s">
        <v>12</v>
      </c>
      <c r="D61" s="6">
        <v>2025</v>
      </c>
      <c r="E61" s="6">
        <v>2026</v>
      </c>
      <c r="F61" s="8">
        <v>4919014</v>
      </c>
    </row>
    <row r="62" spans="1:6" x14ac:dyDescent="0.4">
      <c r="A62" s="6">
        <f t="shared" si="1"/>
        <v>61</v>
      </c>
      <c r="B62" s="6" t="str">
        <f t="shared" si="0"/>
        <v>Policy61</v>
      </c>
      <c r="C62" s="7" t="s">
        <v>12</v>
      </c>
      <c r="D62" s="6">
        <v>2024</v>
      </c>
      <c r="E62" s="6">
        <v>2025</v>
      </c>
      <c r="F62" s="8">
        <v>4845778</v>
      </c>
    </row>
    <row r="63" spans="1:6" x14ac:dyDescent="0.4">
      <c r="A63" s="6">
        <f t="shared" si="1"/>
        <v>62</v>
      </c>
      <c r="B63" s="6" t="str">
        <f t="shared" si="0"/>
        <v>Policy62</v>
      </c>
      <c r="C63" s="7" t="s">
        <v>12</v>
      </c>
      <c r="D63" s="6">
        <v>2022</v>
      </c>
      <c r="E63" s="6">
        <v>2025</v>
      </c>
      <c r="F63" s="8">
        <v>4319446</v>
      </c>
    </row>
    <row r="64" spans="1:6" x14ac:dyDescent="0.4">
      <c r="A64" s="6">
        <f t="shared" si="1"/>
        <v>63</v>
      </c>
      <c r="B64" s="6" t="str">
        <f t="shared" si="0"/>
        <v>Policy63</v>
      </c>
      <c r="C64" s="7" t="s">
        <v>12</v>
      </c>
      <c r="D64" s="6">
        <v>2025</v>
      </c>
      <c r="E64" s="6">
        <v>2026</v>
      </c>
      <c r="F64" s="8">
        <v>947131</v>
      </c>
    </row>
    <row r="65" spans="1:6" x14ac:dyDescent="0.4">
      <c r="A65" s="6">
        <f t="shared" si="1"/>
        <v>64</v>
      </c>
      <c r="B65" s="6" t="str">
        <f t="shared" si="0"/>
        <v>Policy64</v>
      </c>
      <c r="C65" s="7" t="s">
        <v>11</v>
      </c>
      <c r="D65" s="6">
        <v>2022</v>
      </c>
      <c r="E65" s="6">
        <v>2026</v>
      </c>
      <c r="F65" s="8">
        <v>13267</v>
      </c>
    </row>
    <row r="66" spans="1:6" x14ac:dyDescent="0.4">
      <c r="A66" s="6">
        <f t="shared" si="1"/>
        <v>65</v>
      </c>
      <c r="B66" s="6" t="str">
        <f t="shared" si="0"/>
        <v>Policy65</v>
      </c>
      <c r="C66" s="7" t="s">
        <v>12</v>
      </c>
      <c r="D66" s="6">
        <v>2023</v>
      </c>
      <c r="E66" s="6">
        <v>2025</v>
      </c>
      <c r="F66" s="8">
        <v>3020552</v>
      </c>
    </row>
    <row r="67" spans="1:6" x14ac:dyDescent="0.4">
      <c r="A67" s="6">
        <f t="shared" si="1"/>
        <v>66</v>
      </c>
      <c r="B67" s="6" t="str">
        <f t="shared" ref="B67:B130" si="2">"Policy"&amp;A67</f>
        <v>Policy66</v>
      </c>
      <c r="C67" s="7" t="s">
        <v>11</v>
      </c>
      <c r="D67" s="6">
        <v>2022</v>
      </c>
      <c r="E67" s="6">
        <v>2024</v>
      </c>
      <c r="F67" s="8">
        <v>38711</v>
      </c>
    </row>
    <row r="68" spans="1:6" x14ac:dyDescent="0.4">
      <c r="A68" s="6">
        <f t="shared" ref="A68:A131" si="3">A67+1</f>
        <v>67</v>
      </c>
      <c r="B68" s="6" t="str">
        <f t="shared" si="2"/>
        <v>Policy67</v>
      </c>
      <c r="C68" s="7" t="s">
        <v>11</v>
      </c>
      <c r="D68" s="6">
        <v>2023</v>
      </c>
      <c r="E68" s="6">
        <v>2025</v>
      </c>
      <c r="F68" s="8">
        <v>19358</v>
      </c>
    </row>
    <row r="69" spans="1:6" x14ac:dyDescent="0.4">
      <c r="A69" s="6">
        <f t="shared" si="3"/>
        <v>68</v>
      </c>
      <c r="B69" s="6" t="str">
        <f t="shared" si="2"/>
        <v>Policy68</v>
      </c>
      <c r="C69" s="7" t="s">
        <v>11</v>
      </c>
      <c r="D69" s="6">
        <v>2021</v>
      </c>
      <c r="E69" s="6">
        <v>2025</v>
      </c>
      <c r="F69" s="8">
        <v>19478</v>
      </c>
    </row>
    <row r="70" spans="1:6" x14ac:dyDescent="0.4">
      <c r="A70" s="6">
        <f t="shared" si="3"/>
        <v>69</v>
      </c>
      <c r="B70" s="6" t="str">
        <f t="shared" si="2"/>
        <v>Policy69</v>
      </c>
      <c r="C70" s="7" t="s">
        <v>12</v>
      </c>
      <c r="D70" s="6">
        <v>2023</v>
      </c>
      <c r="E70" s="6">
        <v>2026</v>
      </c>
      <c r="F70" s="8">
        <v>2797576</v>
      </c>
    </row>
    <row r="71" spans="1:6" x14ac:dyDescent="0.4">
      <c r="A71" s="6">
        <f t="shared" si="3"/>
        <v>70</v>
      </c>
      <c r="B71" s="6" t="str">
        <f t="shared" si="2"/>
        <v>Policy70</v>
      </c>
      <c r="C71" s="7" t="s">
        <v>11</v>
      </c>
      <c r="D71" s="6">
        <v>2021</v>
      </c>
      <c r="E71" s="6">
        <v>2023</v>
      </c>
      <c r="F71" s="8">
        <v>26752</v>
      </c>
    </row>
    <row r="72" spans="1:6" x14ac:dyDescent="0.4">
      <c r="A72" s="6">
        <f t="shared" si="3"/>
        <v>71</v>
      </c>
      <c r="B72" s="6" t="str">
        <f t="shared" si="2"/>
        <v>Policy71</v>
      </c>
      <c r="C72" s="7" t="s">
        <v>12</v>
      </c>
      <c r="D72" s="6">
        <v>2025</v>
      </c>
      <c r="E72" s="6">
        <v>2026</v>
      </c>
      <c r="F72" s="8">
        <v>1241315</v>
      </c>
    </row>
    <row r="73" spans="1:6" x14ac:dyDescent="0.4">
      <c r="A73" s="6">
        <f t="shared" si="3"/>
        <v>72</v>
      </c>
      <c r="B73" s="6" t="str">
        <f t="shared" si="2"/>
        <v>Policy72</v>
      </c>
      <c r="C73" s="7" t="s">
        <v>11</v>
      </c>
      <c r="D73" s="6">
        <v>2021</v>
      </c>
      <c r="E73" s="6">
        <v>2026</v>
      </c>
      <c r="F73" s="8">
        <v>33049</v>
      </c>
    </row>
    <row r="74" spans="1:6" x14ac:dyDescent="0.4">
      <c r="A74" s="6">
        <f t="shared" si="3"/>
        <v>73</v>
      </c>
      <c r="B74" s="6" t="str">
        <f t="shared" si="2"/>
        <v>Policy73</v>
      </c>
      <c r="C74" s="7" t="s">
        <v>12</v>
      </c>
      <c r="D74" s="6">
        <v>2024</v>
      </c>
      <c r="E74" s="6">
        <v>2026</v>
      </c>
      <c r="F74" s="8">
        <v>137661</v>
      </c>
    </row>
    <row r="75" spans="1:6" x14ac:dyDescent="0.4">
      <c r="A75" s="6">
        <f t="shared" si="3"/>
        <v>74</v>
      </c>
      <c r="B75" s="6" t="str">
        <f t="shared" si="2"/>
        <v>Policy74</v>
      </c>
      <c r="C75" s="7" t="s">
        <v>11</v>
      </c>
      <c r="D75" s="6">
        <v>2022</v>
      </c>
      <c r="E75" s="6">
        <v>2024</v>
      </c>
      <c r="F75" s="8">
        <v>41309</v>
      </c>
    </row>
    <row r="76" spans="1:6" x14ac:dyDescent="0.4">
      <c r="A76" s="6">
        <f t="shared" si="3"/>
        <v>75</v>
      </c>
      <c r="B76" s="6" t="str">
        <f t="shared" si="2"/>
        <v>Policy75</v>
      </c>
      <c r="C76" s="7" t="s">
        <v>11</v>
      </c>
      <c r="D76" s="6">
        <v>2023</v>
      </c>
      <c r="E76" s="6">
        <v>2024</v>
      </c>
      <c r="F76" s="8">
        <v>29655</v>
      </c>
    </row>
    <row r="77" spans="1:6" x14ac:dyDescent="0.4">
      <c r="A77" s="6">
        <f t="shared" si="3"/>
        <v>76</v>
      </c>
      <c r="B77" s="6" t="str">
        <f t="shared" si="2"/>
        <v>Policy76</v>
      </c>
      <c r="C77" s="7" t="s">
        <v>11</v>
      </c>
      <c r="D77" s="6">
        <v>2025</v>
      </c>
      <c r="E77" s="6">
        <v>2026</v>
      </c>
      <c r="F77" s="8">
        <v>765</v>
      </c>
    </row>
    <row r="78" spans="1:6" x14ac:dyDescent="0.4">
      <c r="A78" s="6">
        <f t="shared" si="3"/>
        <v>77</v>
      </c>
      <c r="B78" s="6" t="str">
        <f t="shared" si="2"/>
        <v>Policy77</v>
      </c>
      <c r="C78" s="7" t="s">
        <v>11</v>
      </c>
      <c r="D78" s="6">
        <v>2023</v>
      </c>
      <c r="E78" s="6">
        <v>2026</v>
      </c>
      <c r="F78" s="8">
        <v>2641</v>
      </c>
    </row>
    <row r="79" spans="1:6" x14ac:dyDescent="0.4">
      <c r="A79" s="6">
        <f t="shared" si="3"/>
        <v>78</v>
      </c>
      <c r="B79" s="6" t="str">
        <f t="shared" si="2"/>
        <v>Policy78</v>
      </c>
      <c r="C79" s="7" t="s">
        <v>11</v>
      </c>
      <c r="D79" s="6">
        <v>2021</v>
      </c>
      <c r="E79" s="6">
        <v>2023</v>
      </c>
      <c r="F79" s="8">
        <v>25901</v>
      </c>
    </row>
    <row r="80" spans="1:6" x14ac:dyDescent="0.4">
      <c r="A80" s="6">
        <f t="shared" si="3"/>
        <v>79</v>
      </c>
      <c r="B80" s="6" t="str">
        <f t="shared" si="2"/>
        <v>Policy79</v>
      </c>
      <c r="C80" s="7" t="s">
        <v>12</v>
      </c>
      <c r="D80" s="6">
        <v>2021</v>
      </c>
      <c r="E80" s="6">
        <v>2025</v>
      </c>
      <c r="F80" s="8">
        <v>750847</v>
      </c>
    </row>
    <row r="81" spans="1:6" x14ac:dyDescent="0.4">
      <c r="A81" s="6">
        <f t="shared" si="3"/>
        <v>80</v>
      </c>
      <c r="B81" s="6" t="str">
        <f t="shared" si="2"/>
        <v>Policy80</v>
      </c>
      <c r="C81" s="7" t="s">
        <v>12</v>
      </c>
      <c r="D81" s="6">
        <v>2023</v>
      </c>
      <c r="E81" s="6">
        <v>2024</v>
      </c>
      <c r="F81" s="8">
        <v>3181683</v>
      </c>
    </row>
    <row r="82" spans="1:6" x14ac:dyDescent="0.4">
      <c r="A82" s="6">
        <f t="shared" si="3"/>
        <v>81</v>
      </c>
      <c r="B82" s="6" t="str">
        <f t="shared" si="2"/>
        <v>Policy81</v>
      </c>
      <c r="C82" s="7" t="s">
        <v>11</v>
      </c>
      <c r="D82" s="6">
        <v>2025</v>
      </c>
      <c r="E82" s="6">
        <v>2026</v>
      </c>
      <c r="F82" s="8">
        <v>34486</v>
      </c>
    </row>
    <row r="83" spans="1:6" x14ac:dyDescent="0.4">
      <c r="A83" s="6">
        <f t="shared" si="3"/>
        <v>82</v>
      </c>
      <c r="B83" s="6" t="str">
        <f t="shared" si="2"/>
        <v>Policy82</v>
      </c>
      <c r="C83" s="7" t="s">
        <v>11</v>
      </c>
      <c r="D83" s="6">
        <v>2022</v>
      </c>
      <c r="E83" s="6">
        <v>2024</v>
      </c>
      <c r="F83" s="8">
        <v>48339</v>
      </c>
    </row>
    <row r="84" spans="1:6" x14ac:dyDescent="0.4">
      <c r="A84" s="6">
        <f t="shared" si="3"/>
        <v>83</v>
      </c>
      <c r="B84" s="6" t="str">
        <f t="shared" si="2"/>
        <v>Policy83</v>
      </c>
      <c r="C84" s="7" t="s">
        <v>12</v>
      </c>
      <c r="D84" s="6">
        <v>2022</v>
      </c>
      <c r="E84" s="6">
        <v>2024</v>
      </c>
      <c r="F84" s="8">
        <v>3101156</v>
      </c>
    </row>
    <row r="85" spans="1:6" x14ac:dyDescent="0.4">
      <c r="A85" s="6">
        <f t="shared" si="3"/>
        <v>84</v>
      </c>
      <c r="B85" s="6" t="str">
        <f t="shared" si="2"/>
        <v>Policy84</v>
      </c>
      <c r="C85" s="7" t="s">
        <v>11</v>
      </c>
      <c r="D85" s="6">
        <v>2023</v>
      </c>
      <c r="E85" s="6">
        <v>2025</v>
      </c>
      <c r="F85" s="8">
        <v>7589</v>
      </c>
    </row>
    <row r="86" spans="1:6" x14ac:dyDescent="0.4">
      <c r="A86" s="6">
        <f t="shared" si="3"/>
        <v>85</v>
      </c>
      <c r="B86" s="6" t="str">
        <f t="shared" si="2"/>
        <v>Policy85</v>
      </c>
      <c r="C86" s="7" t="s">
        <v>12</v>
      </c>
      <c r="D86" s="6">
        <v>2022</v>
      </c>
      <c r="E86" s="6">
        <v>2025</v>
      </c>
      <c r="F86" s="8">
        <v>3923767</v>
      </c>
    </row>
    <row r="87" spans="1:6" x14ac:dyDescent="0.4">
      <c r="A87" s="6">
        <f t="shared" si="3"/>
        <v>86</v>
      </c>
      <c r="B87" s="6" t="str">
        <f t="shared" si="2"/>
        <v>Policy86</v>
      </c>
      <c r="C87" s="7" t="s">
        <v>11</v>
      </c>
      <c r="D87" s="6">
        <v>2022</v>
      </c>
      <c r="E87" s="6">
        <v>2025</v>
      </c>
      <c r="F87" s="8">
        <v>7195</v>
      </c>
    </row>
    <row r="88" spans="1:6" x14ac:dyDescent="0.4">
      <c r="A88" s="6">
        <f t="shared" si="3"/>
        <v>87</v>
      </c>
      <c r="B88" s="6" t="str">
        <f t="shared" si="2"/>
        <v>Policy87</v>
      </c>
      <c r="C88" s="7" t="s">
        <v>11</v>
      </c>
      <c r="D88" s="6">
        <v>2021</v>
      </c>
      <c r="E88" s="6">
        <v>2025</v>
      </c>
      <c r="F88" s="8">
        <v>22547</v>
      </c>
    </row>
    <row r="89" spans="1:6" x14ac:dyDescent="0.4">
      <c r="A89" s="6">
        <f t="shared" si="3"/>
        <v>88</v>
      </c>
      <c r="B89" s="6" t="str">
        <f t="shared" si="2"/>
        <v>Policy88</v>
      </c>
      <c r="C89" s="7" t="s">
        <v>11</v>
      </c>
      <c r="D89" s="6">
        <v>2024</v>
      </c>
      <c r="E89" s="6">
        <v>2026</v>
      </c>
      <c r="F89" s="8">
        <v>41471</v>
      </c>
    </row>
    <row r="90" spans="1:6" x14ac:dyDescent="0.4">
      <c r="A90" s="6">
        <f t="shared" si="3"/>
        <v>89</v>
      </c>
      <c r="B90" s="6" t="str">
        <f t="shared" si="2"/>
        <v>Policy89</v>
      </c>
      <c r="C90" s="7" t="s">
        <v>11</v>
      </c>
      <c r="D90" s="6">
        <v>2025</v>
      </c>
      <c r="E90" s="6">
        <v>2026</v>
      </c>
      <c r="F90" s="8">
        <v>49385</v>
      </c>
    </row>
    <row r="91" spans="1:6" x14ac:dyDescent="0.4">
      <c r="A91" s="6">
        <f t="shared" si="3"/>
        <v>90</v>
      </c>
      <c r="B91" s="6" t="str">
        <f t="shared" si="2"/>
        <v>Policy90</v>
      </c>
      <c r="C91" s="7" t="s">
        <v>12</v>
      </c>
      <c r="D91" s="6">
        <v>2025</v>
      </c>
      <c r="E91" s="6">
        <v>2026</v>
      </c>
      <c r="F91" s="8">
        <v>1181767</v>
      </c>
    </row>
    <row r="92" spans="1:6" x14ac:dyDescent="0.4">
      <c r="A92" s="6">
        <f t="shared" si="3"/>
        <v>91</v>
      </c>
      <c r="B92" s="6" t="str">
        <f t="shared" si="2"/>
        <v>Policy91</v>
      </c>
      <c r="C92" s="7" t="s">
        <v>12</v>
      </c>
      <c r="D92" s="6">
        <v>2025</v>
      </c>
      <c r="E92" s="6">
        <v>2026</v>
      </c>
      <c r="F92" s="8">
        <v>3707484</v>
      </c>
    </row>
    <row r="93" spans="1:6" x14ac:dyDescent="0.4">
      <c r="A93" s="6">
        <f t="shared" si="3"/>
        <v>92</v>
      </c>
      <c r="B93" s="6" t="str">
        <f t="shared" si="2"/>
        <v>Policy92</v>
      </c>
      <c r="C93" s="7" t="s">
        <v>11</v>
      </c>
      <c r="D93" s="6">
        <v>2025</v>
      </c>
      <c r="E93" s="6">
        <v>2026</v>
      </c>
      <c r="F93" s="8">
        <v>42066</v>
      </c>
    </row>
    <row r="94" spans="1:6" x14ac:dyDescent="0.4">
      <c r="A94" s="6">
        <f t="shared" si="3"/>
        <v>93</v>
      </c>
      <c r="B94" s="6" t="str">
        <f t="shared" si="2"/>
        <v>Policy93</v>
      </c>
      <c r="C94" s="7" t="s">
        <v>11</v>
      </c>
      <c r="D94" s="6">
        <v>2023</v>
      </c>
      <c r="E94" s="6">
        <v>2024</v>
      </c>
      <c r="F94" s="8">
        <v>36860</v>
      </c>
    </row>
    <row r="95" spans="1:6" x14ac:dyDescent="0.4">
      <c r="A95" s="6">
        <f t="shared" si="3"/>
        <v>94</v>
      </c>
      <c r="B95" s="6" t="str">
        <f t="shared" si="2"/>
        <v>Policy94</v>
      </c>
      <c r="C95" s="7" t="s">
        <v>11</v>
      </c>
      <c r="D95" s="6">
        <v>2023</v>
      </c>
      <c r="E95" s="6">
        <v>2024</v>
      </c>
      <c r="F95" s="8">
        <v>42047</v>
      </c>
    </row>
    <row r="96" spans="1:6" x14ac:dyDescent="0.4">
      <c r="A96" s="6">
        <f t="shared" si="3"/>
        <v>95</v>
      </c>
      <c r="B96" s="6" t="str">
        <f t="shared" si="2"/>
        <v>Policy95</v>
      </c>
      <c r="C96" s="7" t="s">
        <v>11</v>
      </c>
      <c r="D96" s="6">
        <v>2024</v>
      </c>
      <c r="E96" s="6">
        <v>2026</v>
      </c>
      <c r="F96" s="8">
        <v>42568</v>
      </c>
    </row>
    <row r="97" spans="1:6" x14ac:dyDescent="0.4">
      <c r="A97" s="6">
        <f t="shared" si="3"/>
        <v>96</v>
      </c>
      <c r="B97" s="6" t="str">
        <f t="shared" si="2"/>
        <v>Policy96</v>
      </c>
      <c r="C97" s="7" t="s">
        <v>12</v>
      </c>
      <c r="D97" s="6">
        <v>2021</v>
      </c>
      <c r="E97" s="6">
        <v>2023</v>
      </c>
      <c r="F97" s="8">
        <v>2934431</v>
      </c>
    </row>
    <row r="98" spans="1:6" x14ac:dyDescent="0.4">
      <c r="A98" s="6">
        <f t="shared" si="3"/>
        <v>97</v>
      </c>
      <c r="B98" s="6" t="str">
        <f t="shared" si="2"/>
        <v>Policy97</v>
      </c>
      <c r="C98" s="7" t="s">
        <v>12</v>
      </c>
      <c r="D98" s="6">
        <v>2023</v>
      </c>
      <c r="E98" s="6">
        <v>2026</v>
      </c>
      <c r="F98" s="8">
        <v>1592812</v>
      </c>
    </row>
    <row r="99" spans="1:6" x14ac:dyDescent="0.4">
      <c r="A99" s="6">
        <f t="shared" si="3"/>
        <v>98</v>
      </c>
      <c r="B99" s="6" t="str">
        <f t="shared" si="2"/>
        <v>Policy98</v>
      </c>
      <c r="C99" s="7" t="s">
        <v>11</v>
      </c>
      <c r="D99" s="6">
        <v>2023</v>
      </c>
      <c r="E99" s="6">
        <v>2025</v>
      </c>
      <c r="F99" s="8">
        <v>41816</v>
      </c>
    </row>
    <row r="100" spans="1:6" x14ac:dyDescent="0.4">
      <c r="A100" s="6">
        <f t="shared" si="3"/>
        <v>99</v>
      </c>
      <c r="B100" s="6" t="str">
        <f t="shared" si="2"/>
        <v>Policy99</v>
      </c>
      <c r="C100" s="7" t="s">
        <v>12</v>
      </c>
      <c r="D100" s="6">
        <v>2023</v>
      </c>
      <c r="E100" s="6">
        <v>2025</v>
      </c>
      <c r="F100" s="8">
        <v>4190744</v>
      </c>
    </row>
    <row r="101" spans="1:6" x14ac:dyDescent="0.4">
      <c r="A101" s="6">
        <f t="shared" si="3"/>
        <v>100</v>
      </c>
      <c r="B101" s="6" t="str">
        <f t="shared" si="2"/>
        <v>Policy100</v>
      </c>
      <c r="C101" s="7" t="s">
        <v>11</v>
      </c>
      <c r="D101" s="6">
        <v>2023</v>
      </c>
      <c r="E101" s="6">
        <v>2026</v>
      </c>
      <c r="F101" s="8">
        <v>44484</v>
      </c>
    </row>
    <row r="102" spans="1:6" x14ac:dyDescent="0.4">
      <c r="A102" s="6">
        <f t="shared" si="3"/>
        <v>101</v>
      </c>
      <c r="B102" s="6" t="str">
        <f t="shared" si="2"/>
        <v>Policy101</v>
      </c>
      <c r="C102" s="7" t="s">
        <v>11</v>
      </c>
      <c r="D102" s="6">
        <v>2021</v>
      </c>
      <c r="E102" s="6">
        <v>2022</v>
      </c>
      <c r="F102" s="8">
        <v>49003</v>
      </c>
    </row>
    <row r="103" spans="1:6" x14ac:dyDescent="0.4">
      <c r="A103" s="6">
        <f t="shared" si="3"/>
        <v>102</v>
      </c>
      <c r="B103" s="6" t="str">
        <f t="shared" si="2"/>
        <v>Policy102</v>
      </c>
      <c r="C103" s="7" t="s">
        <v>11</v>
      </c>
      <c r="D103" s="6">
        <v>2022</v>
      </c>
      <c r="E103" s="6">
        <v>2024</v>
      </c>
      <c r="F103" s="8">
        <v>2351</v>
      </c>
    </row>
    <row r="104" spans="1:6" x14ac:dyDescent="0.4">
      <c r="A104" s="6">
        <f t="shared" si="3"/>
        <v>103</v>
      </c>
      <c r="B104" s="6" t="str">
        <f t="shared" si="2"/>
        <v>Policy103</v>
      </c>
      <c r="C104" s="7" t="s">
        <v>12</v>
      </c>
      <c r="D104" s="6">
        <v>2022</v>
      </c>
      <c r="E104" s="6">
        <v>2026</v>
      </c>
      <c r="F104" s="8">
        <v>1465180</v>
      </c>
    </row>
    <row r="105" spans="1:6" x14ac:dyDescent="0.4">
      <c r="A105" s="6">
        <f t="shared" si="3"/>
        <v>104</v>
      </c>
      <c r="B105" s="6" t="str">
        <f t="shared" si="2"/>
        <v>Policy104</v>
      </c>
      <c r="C105" s="7" t="s">
        <v>12</v>
      </c>
      <c r="D105" s="6">
        <v>2023</v>
      </c>
      <c r="E105" s="6">
        <v>2025</v>
      </c>
      <c r="F105" s="8">
        <v>4818374</v>
      </c>
    </row>
    <row r="106" spans="1:6" x14ac:dyDescent="0.4">
      <c r="A106" s="6">
        <f t="shared" si="3"/>
        <v>105</v>
      </c>
      <c r="B106" s="6" t="str">
        <f t="shared" si="2"/>
        <v>Policy105</v>
      </c>
      <c r="C106" s="7" t="s">
        <v>12</v>
      </c>
      <c r="D106" s="6">
        <v>2023</v>
      </c>
      <c r="E106" s="6">
        <v>2025</v>
      </c>
      <c r="F106" s="8">
        <v>484112</v>
      </c>
    </row>
    <row r="107" spans="1:6" x14ac:dyDescent="0.4">
      <c r="A107" s="6">
        <f t="shared" si="3"/>
        <v>106</v>
      </c>
      <c r="B107" s="6" t="str">
        <f t="shared" si="2"/>
        <v>Policy106</v>
      </c>
      <c r="C107" s="7" t="s">
        <v>11</v>
      </c>
      <c r="D107" s="6">
        <v>2022</v>
      </c>
      <c r="E107" s="6">
        <v>2023</v>
      </c>
      <c r="F107" s="8">
        <v>20612</v>
      </c>
    </row>
    <row r="108" spans="1:6" x14ac:dyDescent="0.4">
      <c r="A108" s="6">
        <f t="shared" si="3"/>
        <v>107</v>
      </c>
      <c r="B108" s="6" t="str">
        <f t="shared" si="2"/>
        <v>Policy107</v>
      </c>
      <c r="C108" s="7" t="s">
        <v>11</v>
      </c>
      <c r="D108" s="6">
        <v>2024</v>
      </c>
      <c r="E108" s="6">
        <v>2026</v>
      </c>
      <c r="F108" s="8">
        <v>42097</v>
      </c>
    </row>
    <row r="109" spans="1:6" x14ac:dyDescent="0.4">
      <c r="A109" s="6">
        <f t="shared" si="3"/>
        <v>108</v>
      </c>
      <c r="B109" s="6" t="str">
        <f t="shared" si="2"/>
        <v>Policy108</v>
      </c>
      <c r="C109" s="7" t="s">
        <v>12</v>
      </c>
      <c r="D109" s="6">
        <v>2025</v>
      </c>
      <c r="E109" s="6">
        <v>2026</v>
      </c>
      <c r="F109" s="8">
        <v>2805106</v>
      </c>
    </row>
    <row r="110" spans="1:6" x14ac:dyDescent="0.4">
      <c r="A110" s="6">
        <f t="shared" si="3"/>
        <v>109</v>
      </c>
      <c r="B110" s="6" t="str">
        <f t="shared" si="2"/>
        <v>Policy109</v>
      </c>
      <c r="C110" s="7" t="s">
        <v>12</v>
      </c>
      <c r="D110" s="6">
        <v>2021</v>
      </c>
      <c r="E110" s="6">
        <v>2022</v>
      </c>
      <c r="F110" s="8">
        <v>3667888</v>
      </c>
    </row>
    <row r="111" spans="1:6" x14ac:dyDescent="0.4">
      <c r="A111" s="6">
        <f t="shared" si="3"/>
        <v>110</v>
      </c>
      <c r="B111" s="6" t="str">
        <f t="shared" si="2"/>
        <v>Policy110</v>
      </c>
      <c r="C111" s="7" t="s">
        <v>12</v>
      </c>
      <c r="D111" s="6">
        <v>2022</v>
      </c>
      <c r="E111" s="6">
        <v>2023</v>
      </c>
      <c r="F111" s="8">
        <v>1107784</v>
      </c>
    </row>
    <row r="112" spans="1:6" x14ac:dyDescent="0.4">
      <c r="A112" s="6">
        <f t="shared" si="3"/>
        <v>111</v>
      </c>
      <c r="B112" s="6" t="str">
        <f t="shared" si="2"/>
        <v>Policy111</v>
      </c>
      <c r="C112" s="7" t="s">
        <v>11</v>
      </c>
      <c r="D112" s="6">
        <v>2024</v>
      </c>
      <c r="E112" s="6">
        <v>2026</v>
      </c>
      <c r="F112" s="8">
        <v>18820</v>
      </c>
    </row>
    <row r="113" spans="1:6" x14ac:dyDescent="0.4">
      <c r="A113" s="6">
        <f t="shared" si="3"/>
        <v>112</v>
      </c>
      <c r="B113" s="6" t="str">
        <f t="shared" si="2"/>
        <v>Policy112</v>
      </c>
      <c r="C113" s="7" t="s">
        <v>12</v>
      </c>
      <c r="D113" s="6">
        <v>2023</v>
      </c>
      <c r="E113" s="6">
        <v>2024</v>
      </c>
      <c r="F113" s="8">
        <v>1560103</v>
      </c>
    </row>
    <row r="114" spans="1:6" x14ac:dyDescent="0.4">
      <c r="A114" s="6">
        <f t="shared" si="3"/>
        <v>113</v>
      </c>
      <c r="B114" s="6" t="str">
        <f t="shared" si="2"/>
        <v>Policy113</v>
      </c>
      <c r="C114" s="7" t="s">
        <v>12</v>
      </c>
      <c r="D114" s="6">
        <v>2024</v>
      </c>
      <c r="E114" s="6">
        <v>2026</v>
      </c>
      <c r="F114" s="8">
        <v>836574</v>
      </c>
    </row>
    <row r="115" spans="1:6" x14ac:dyDescent="0.4">
      <c r="A115" s="6">
        <f t="shared" si="3"/>
        <v>114</v>
      </c>
      <c r="B115" s="6" t="str">
        <f t="shared" si="2"/>
        <v>Policy114</v>
      </c>
      <c r="C115" s="7" t="s">
        <v>12</v>
      </c>
      <c r="D115" s="6">
        <v>2022</v>
      </c>
      <c r="E115" s="6">
        <v>2025</v>
      </c>
      <c r="F115" s="8">
        <v>1983611</v>
      </c>
    </row>
    <row r="116" spans="1:6" x14ac:dyDescent="0.4">
      <c r="A116" s="6">
        <f t="shared" si="3"/>
        <v>115</v>
      </c>
      <c r="B116" s="6" t="str">
        <f t="shared" si="2"/>
        <v>Policy115</v>
      </c>
      <c r="C116" s="7" t="s">
        <v>12</v>
      </c>
      <c r="D116" s="6">
        <v>2023</v>
      </c>
      <c r="E116" s="6">
        <v>2026</v>
      </c>
      <c r="F116" s="8">
        <v>278766</v>
      </c>
    </row>
    <row r="117" spans="1:6" x14ac:dyDescent="0.4">
      <c r="A117" s="6">
        <f t="shared" si="3"/>
        <v>116</v>
      </c>
      <c r="B117" s="6" t="str">
        <f t="shared" si="2"/>
        <v>Policy116</v>
      </c>
      <c r="C117" s="7" t="s">
        <v>11</v>
      </c>
      <c r="D117" s="6">
        <v>2025</v>
      </c>
      <c r="E117" s="6">
        <v>2026</v>
      </c>
      <c r="F117" s="8">
        <v>40517</v>
      </c>
    </row>
    <row r="118" spans="1:6" x14ac:dyDescent="0.4">
      <c r="A118" s="6">
        <f t="shared" si="3"/>
        <v>117</v>
      </c>
      <c r="B118" s="6" t="str">
        <f t="shared" si="2"/>
        <v>Policy117</v>
      </c>
      <c r="C118" s="7" t="s">
        <v>12</v>
      </c>
      <c r="D118" s="6">
        <v>2025</v>
      </c>
      <c r="E118" s="6">
        <v>2026</v>
      </c>
      <c r="F118" s="8">
        <v>4165846</v>
      </c>
    </row>
    <row r="119" spans="1:6" x14ac:dyDescent="0.4">
      <c r="A119" s="6">
        <f t="shared" si="3"/>
        <v>118</v>
      </c>
      <c r="B119" s="6" t="str">
        <f t="shared" si="2"/>
        <v>Policy118</v>
      </c>
      <c r="C119" s="7" t="s">
        <v>11</v>
      </c>
      <c r="D119" s="6">
        <v>2021</v>
      </c>
      <c r="E119" s="6">
        <v>2023</v>
      </c>
      <c r="F119" s="8">
        <v>20972</v>
      </c>
    </row>
    <row r="120" spans="1:6" x14ac:dyDescent="0.4">
      <c r="A120" s="6">
        <f t="shared" si="3"/>
        <v>119</v>
      </c>
      <c r="B120" s="6" t="str">
        <f t="shared" si="2"/>
        <v>Policy119</v>
      </c>
      <c r="C120" s="7" t="s">
        <v>12</v>
      </c>
      <c r="D120" s="6">
        <v>2022</v>
      </c>
      <c r="E120" s="6">
        <v>2024</v>
      </c>
      <c r="F120" s="8">
        <v>3901771</v>
      </c>
    </row>
    <row r="121" spans="1:6" x14ac:dyDescent="0.4">
      <c r="A121" s="6">
        <f t="shared" si="3"/>
        <v>120</v>
      </c>
      <c r="B121" s="6" t="str">
        <f t="shared" si="2"/>
        <v>Policy120</v>
      </c>
      <c r="C121" s="7" t="s">
        <v>11</v>
      </c>
      <c r="D121" s="6">
        <v>2025</v>
      </c>
      <c r="E121" s="6">
        <v>2026</v>
      </c>
      <c r="F121" s="8">
        <v>10095</v>
      </c>
    </row>
    <row r="122" spans="1:6" x14ac:dyDescent="0.4">
      <c r="A122" s="6">
        <f t="shared" si="3"/>
        <v>121</v>
      </c>
      <c r="B122" s="6" t="str">
        <f t="shared" si="2"/>
        <v>Policy121</v>
      </c>
      <c r="C122" s="7" t="s">
        <v>11</v>
      </c>
      <c r="D122" s="6">
        <v>2021</v>
      </c>
      <c r="E122" s="6">
        <v>2026</v>
      </c>
      <c r="F122" s="8">
        <v>9863</v>
      </c>
    </row>
    <row r="123" spans="1:6" x14ac:dyDescent="0.4">
      <c r="A123" s="6">
        <f t="shared" si="3"/>
        <v>122</v>
      </c>
      <c r="B123" s="6" t="str">
        <f t="shared" si="2"/>
        <v>Policy122</v>
      </c>
      <c r="C123" s="7" t="s">
        <v>11</v>
      </c>
      <c r="D123" s="6">
        <v>2021</v>
      </c>
      <c r="E123" s="6">
        <v>2022</v>
      </c>
      <c r="F123" s="8">
        <v>20518</v>
      </c>
    </row>
    <row r="124" spans="1:6" x14ac:dyDescent="0.4">
      <c r="A124" s="6">
        <f t="shared" si="3"/>
        <v>123</v>
      </c>
      <c r="B124" s="6" t="str">
        <f t="shared" si="2"/>
        <v>Policy123</v>
      </c>
      <c r="C124" s="7" t="s">
        <v>11</v>
      </c>
      <c r="D124" s="6">
        <v>2023</v>
      </c>
      <c r="E124" s="6">
        <v>2024</v>
      </c>
      <c r="F124" s="8">
        <v>25851</v>
      </c>
    </row>
    <row r="125" spans="1:6" x14ac:dyDescent="0.4">
      <c r="A125" s="6">
        <f t="shared" si="3"/>
        <v>124</v>
      </c>
      <c r="B125" s="6" t="str">
        <f t="shared" si="2"/>
        <v>Policy124</v>
      </c>
      <c r="C125" s="7" t="s">
        <v>12</v>
      </c>
      <c r="D125" s="6">
        <v>2022</v>
      </c>
      <c r="E125" s="6">
        <v>2026</v>
      </c>
      <c r="F125" s="8">
        <v>587461</v>
      </c>
    </row>
    <row r="126" spans="1:6" x14ac:dyDescent="0.4">
      <c r="A126" s="6">
        <f t="shared" si="3"/>
        <v>125</v>
      </c>
      <c r="B126" s="6" t="str">
        <f t="shared" si="2"/>
        <v>Policy125</v>
      </c>
      <c r="C126" s="7" t="s">
        <v>11</v>
      </c>
      <c r="D126" s="6">
        <v>2022</v>
      </c>
      <c r="E126" s="6">
        <v>2023</v>
      </c>
      <c r="F126" s="8">
        <v>43056</v>
      </c>
    </row>
    <row r="127" spans="1:6" x14ac:dyDescent="0.4">
      <c r="A127" s="6">
        <f t="shared" si="3"/>
        <v>126</v>
      </c>
      <c r="B127" s="6" t="str">
        <f t="shared" si="2"/>
        <v>Policy126</v>
      </c>
      <c r="C127" s="7" t="s">
        <v>12</v>
      </c>
      <c r="D127" s="6">
        <v>2021</v>
      </c>
      <c r="E127" s="6">
        <v>2026</v>
      </c>
      <c r="F127" s="8">
        <v>2153780</v>
      </c>
    </row>
    <row r="128" spans="1:6" x14ac:dyDescent="0.4">
      <c r="A128" s="6">
        <f t="shared" si="3"/>
        <v>127</v>
      </c>
      <c r="B128" s="6" t="str">
        <f t="shared" si="2"/>
        <v>Policy127</v>
      </c>
      <c r="C128" s="7" t="s">
        <v>11</v>
      </c>
      <c r="D128" s="6">
        <v>2024</v>
      </c>
      <c r="E128" s="6">
        <v>2026</v>
      </c>
      <c r="F128" s="8">
        <v>23150</v>
      </c>
    </row>
    <row r="129" spans="1:6" x14ac:dyDescent="0.4">
      <c r="A129" s="6">
        <f t="shared" si="3"/>
        <v>128</v>
      </c>
      <c r="B129" s="6" t="str">
        <f t="shared" si="2"/>
        <v>Policy128</v>
      </c>
      <c r="C129" s="7" t="s">
        <v>11</v>
      </c>
      <c r="D129" s="6">
        <v>2022</v>
      </c>
      <c r="E129" s="6">
        <v>2026</v>
      </c>
      <c r="F129" s="8">
        <v>40842</v>
      </c>
    </row>
    <row r="130" spans="1:6" x14ac:dyDescent="0.4">
      <c r="A130" s="6">
        <f t="shared" si="3"/>
        <v>129</v>
      </c>
      <c r="B130" s="6" t="str">
        <f t="shared" si="2"/>
        <v>Policy129</v>
      </c>
      <c r="C130" s="7" t="s">
        <v>11</v>
      </c>
      <c r="D130" s="6">
        <v>2022</v>
      </c>
      <c r="E130" s="6">
        <v>2026</v>
      </c>
      <c r="F130" s="8">
        <v>36448</v>
      </c>
    </row>
    <row r="131" spans="1:6" x14ac:dyDescent="0.4">
      <c r="A131" s="6">
        <f t="shared" si="3"/>
        <v>130</v>
      </c>
      <c r="B131" s="6" t="str">
        <f t="shared" ref="B131:B194" si="4">"Policy"&amp;A131</f>
        <v>Policy130</v>
      </c>
      <c r="C131" s="7" t="s">
        <v>12</v>
      </c>
      <c r="D131" s="6">
        <v>2021</v>
      </c>
      <c r="E131" s="6">
        <v>2025</v>
      </c>
      <c r="F131" s="8">
        <v>4433236</v>
      </c>
    </row>
    <row r="132" spans="1:6" x14ac:dyDescent="0.4">
      <c r="A132" s="6">
        <f t="shared" ref="A132:A195" si="5">A131+1</f>
        <v>131</v>
      </c>
      <c r="B132" s="6" t="str">
        <f t="shared" si="4"/>
        <v>Policy131</v>
      </c>
      <c r="C132" s="7" t="s">
        <v>11</v>
      </c>
      <c r="D132" s="6">
        <v>2025</v>
      </c>
      <c r="E132" s="6">
        <v>2026</v>
      </c>
      <c r="F132" s="8">
        <v>16718</v>
      </c>
    </row>
    <row r="133" spans="1:6" x14ac:dyDescent="0.4">
      <c r="A133" s="6">
        <f t="shared" si="5"/>
        <v>132</v>
      </c>
      <c r="B133" s="6" t="str">
        <f t="shared" si="4"/>
        <v>Policy132</v>
      </c>
      <c r="C133" s="7" t="s">
        <v>11</v>
      </c>
      <c r="D133" s="6">
        <v>2025</v>
      </c>
      <c r="E133" s="6">
        <v>2026</v>
      </c>
      <c r="F133" s="8">
        <v>18049</v>
      </c>
    </row>
    <row r="134" spans="1:6" x14ac:dyDescent="0.4">
      <c r="A134" s="6">
        <f t="shared" si="5"/>
        <v>133</v>
      </c>
      <c r="B134" s="6" t="str">
        <f t="shared" si="4"/>
        <v>Policy133</v>
      </c>
      <c r="C134" s="7" t="s">
        <v>11</v>
      </c>
      <c r="D134" s="6">
        <v>2025</v>
      </c>
      <c r="E134" s="6">
        <v>2026</v>
      </c>
      <c r="F134" s="8">
        <v>205</v>
      </c>
    </row>
    <row r="135" spans="1:6" x14ac:dyDescent="0.4">
      <c r="A135" s="6">
        <f t="shared" si="5"/>
        <v>134</v>
      </c>
      <c r="B135" s="6" t="str">
        <f t="shared" si="4"/>
        <v>Policy134</v>
      </c>
      <c r="C135" s="7" t="s">
        <v>12</v>
      </c>
      <c r="D135" s="6">
        <v>2022</v>
      </c>
      <c r="E135" s="6">
        <v>2025</v>
      </c>
      <c r="F135" s="8">
        <v>1513047</v>
      </c>
    </row>
    <row r="136" spans="1:6" x14ac:dyDescent="0.4">
      <c r="A136" s="6">
        <f t="shared" si="5"/>
        <v>135</v>
      </c>
      <c r="B136" s="6" t="str">
        <f t="shared" si="4"/>
        <v>Policy135</v>
      </c>
      <c r="C136" s="7" t="s">
        <v>12</v>
      </c>
      <c r="D136" s="6">
        <v>2023</v>
      </c>
      <c r="E136" s="6">
        <v>2024</v>
      </c>
      <c r="F136" s="8">
        <v>4917000</v>
      </c>
    </row>
    <row r="137" spans="1:6" x14ac:dyDescent="0.4">
      <c r="A137" s="6">
        <f t="shared" si="5"/>
        <v>136</v>
      </c>
      <c r="B137" s="6" t="str">
        <f t="shared" si="4"/>
        <v>Policy136</v>
      </c>
      <c r="C137" s="7" t="s">
        <v>12</v>
      </c>
      <c r="D137" s="6">
        <v>2023</v>
      </c>
      <c r="E137" s="6">
        <v>2025</v>
      </c>
      <c r="F137" s="8">
        <v>1319715</v>
      </c>
    </row>
    <row r="138" spans="1:6" x14ac:dyDescent="0.4">
      <c r="A138" s="6">
        <f t="shared" si="5"/>
        <v>137</v>
      </c>
      <c r="B138" s="6" t="str">
        <f t="shared" si="4"/>
        <v>Policy137</v>
      </c>
      <c r="C138" s="7" t="s">
        <v>12</v>
      </c>
      <c r="D138" s="6">
        <v>2021</v>
      </c>
      <c r="E138" s="6">
        <v>2025</v>
      </c>
      <c r="F138" s="8">
        <v>3697621</v>
      </c>
    </row>
    <row r="139" spans="1:6" x14ac:dyDescent="0.4">
      <c r="A139" s="6">
        <f t="shared" si="5"/>
        <v>138</v>
      </c>
      <c r="B139" s="6" t="str">
        <f t="shared" si="4"/>
        <v>Policy138</v>
      </c>
      <c r="C139" s="7" t="s">
        <v>11</v>
      </c>
      <c r="D139" s="6">
        <v>2025</v>
      </c>
      <c r="E139" s="6">
        <v>2026</v>
      </c>
      <c r="F139" s="8">
        <v>33471</v>
      </c>
    </row>
    <row r="140" spans="1:6" x14ac:dyDescent="0.4">
      <c r="A140" s="6">
        <f t="shared" si="5"/>
        <v>139</v>
      </c>
      <c r="B140" s="6" t="str">
        <f t="shared" si="4"/>
        <v>Policy139</v>
      </c>
      <c r="C140" s="7" t="s">
        <v>12</v>
      </c>
      <c r="D140" s="6">
        <v>2021</v>
      </c>
      <c r="E140" s="6">
        <v>2026</v>
      </c>
      <c r="F140" s="8">
        <v>4083337</v>
      </c>
    </row>
    <row r="141" spans="1:6" x14ac:dyDescent="0.4">
      <c r="A141" s="6">
        <f t="shared" si="5"/>
        <v>140</v>
      </c>
      <c r="B141" s="6" t="str">
        <f t="shared" si="4"/>
        <v>Policy140</v>
      </c>
      <c r="C141" s="7" t="s">
        <v>11</v>
      </c>
      <c r="D141" s="6">
        <v>2024</v>
      </c>
      <c r="E141" s="6">
        <v>2025</v>
      </c>
      <c r="F141" s="8">
        <v>33260</v>
      </c>
    </row>
    <row r="142" spans="1:6" x14ac:dyDescent="0.4">
      <c r="A142" s="6">
        <f t="shared" si="5"/>
        <v>141</v>
      </c>
      <c r="B142" s="6" t="str">
        <f t="shared" si="4"/>
        <v>Policy141</v>
      </c>
      <c r="C142" s="7" t="s">
        <v>11</v>
      </c>
      <c r="D142" s="6">
        <v>2024</v>
      </c>
      <c r="E142" s="6">
        <v>2025</v>
      </c>
      <c r="F142" s="8">
        <v>41598</v>
      </c>
    </row>
    <row r="143" spans="1:6" x14ac:dyDescent="0.4">
      <c r="A143" s="6">
        <f t="shared" si="5"/>
        <v>142</v>
      </c>
      <c r="B143" s="6" t="str">
        <f t="shared" si="4"/>
        <v>Policy142</v>
      </c>
      <c r="C143" s="7" t="s">
        <v>11</v>
      </c>
      <c r="D143" s="6">
        <v>2024</v>
      </c>
      <c r="E143" s="6">
        <v>2025</v>
      </c>
      <c r="F143" s="8">
        <v>9287</v>
      </c>
    </row>
    <row r="144" spans="1:6" x14ac:dyDescent="0.4">
      <c r="A144" s="6">
        <f t="shared" si="5"/>
        <v>143</v>
      </c>
      <c r="B144" s="6" t="str">
        <f t="shared" si="4"/>
        <v>Policy143</v>
      </c>
      <c r="C144" s="7" t="s">
        <v>12</v>
      </c>
      <c r="D144" s="6">
        <v>2021</v>
      </c>
      <c r="E144" s="6">
        <v>2023</v>
      </c>
      <c r="F144" s="8">
        <v>2549060</v>
      </c>
    </row>
    <row r="145" spans="1:6" x14ac:dyDescent="0.4">
      <c r="A145" s="6">
        <f t="shared" si="5"/>
        <v>144</v>
      </c>
      <c r="B145" s="6" t="str">
        <f t="shared" si="4"/>
        <v>Policy144</v>
      </c>
      <c r="C145" s="7" t="s">
        <v>11</v>
      </c>
      <c r="D145" s="6">
        <v>2023</v>
      </c>
      <c r="E145" s="6">
        <v>2024</v>
      </c>
      <c r="F145" s="8">
        <v>47992</v>
      </c>
    </row>
    <row r="146" spans="1:6" x14ac:dyDescent="0.4">
      <c r="A146" s="6">
        <f t="shared" si="5"/>
        <v>145</v>
      </c>
      <c r="B146" s="6" t="str">
        <f t="shared" si="4"/>
        <v>Policy145</v>
      </c>
      <c r="C146" s="7" t="s">
        <v>11</v>
      </c>
      <c r="D146" s="6">
        <v>2025</v>
      </c>
      <c r="E146" s="6">
        <v>2026</v>
      </c>
      <c r="F146" s="8">
        <v>29566</v>
      </c>
    </row>
    <row r="147" spans="1:6" x14ac:dyDescent="0.4">
      <c r="A147" s="6">
        <f t="shared" si="5"/>
        <v>146</v>
      </c>
      <c r="B147" s="6" t="str">
        <f t="shared" si="4"/>
        <v>Policy146</v>
      </c>
      <c r="C147" s="7" t="s">
        <v>12</v>
      </c>
      <c r="D147" s="6">
        <v>2021</v>
      </c>
      <c r="E147" s="6">
        <v>2022</v>
      </c>
      <c r="F147" s="8">
        <v>2026808</v>
      </c>
    </row>
    <row r="148" spans="1:6" x14ac:dyDescent="0.4">
      <c r="A148" s="6">
        <f t="shared" si="5"/>
        <v>147</v>
      </c>
      <c r="B148" s="6" t="str">
        <f t="shared" si="4"/>
        <v>Policy147</v>
      </c>
      <c r="C148" s="7" t="s">
        <v>11</v>
      </c>
      <c r="D148" s="6">
        <v>2021</v>
      </c>
      <c r="E148" s="6">
        <v>2022</v>
      </c>
      <c r="F148" s="8">
        <v>4010</v>
      </c>
    </row>
    <row r="149" spans="1:6" x14ac:dyDescent="0.4">
      <c r="A149" s="6">
        <f t="shared" si="5"/>
        <v>148</v>
      </c>
      <c r="B149" s="6" t="str">
        <f t="shared" si="4"/>
        <v>Policy148</v>
      </c>
      <c r="C149" s="7" t="s">
        <v>12</v>
      </c>
      <c r="D149" s="6">
        <v>2025</v>
      </c>
      <c r="E149" s="6">
        <v>2026</v>
      </c>
      <c r="F149" s="8">
        <v>4304902</v>
      </c>
    </row>
    <row r="150" spans="1:6" x14ac:dyDescent="0.4">
      <c r="A150" s="6">
        <f t="shared" si="5"/>
        <v>149</v>
      </c>
      <c r="B150" s="6" t="str">
        <f t="shared" si="4"/>
        <v>Policy149</v>
      </c>
      <c r="C150" s="7" t="s">
        <v>11</v>
      </c>
      <c r="D150" s="6">
        <v>2025</v>
      </c>
      <c r="E150" s="6">
        <v>2026</v>
      </c>
      <c r="F150" s="8">
        <v>17974</v>
      </c>
    </row>
    <row r="151" spans="1:6" x14ac:dyDescent="0.4">
      <c r="A151" s="6">
        <f t="shared" si="5"/>
        <v>150</v>
      </c>
      <c r="B151" s="6" t="str">
        <f t="shared" si="4"/>
        <v>Policy150</v>
      </c>
      <c r="C151" s="7" t="s">
        <v>11</v>
      </c>
      <c r="D151" s="6">
        <v>2023</v>
      </c>
      <c r="E151" s="6">
        <v>2024</v>
      </c>
      <c r="F151" s="8">
        <v>45815</v>
      </c>
    </row>
    <row r="152" spans="1:6" x14ac:dyDescent="0.4">
      <c r="A152" s="6">
        <f t="shared" si="5"/>
        <v>151</v>
      </c>
      <c r="B152" s="6" t="str">
        <f t="shared" si="4"/>
        <v>Policy151</v>
      </c>
      <c r="C152" s="7" t="s">
        <v>11</v>
      </c>
      <c r="D152" s="6">
        <v>2024</v>
      </c>
      <c r="E152" s="6">
        <v>2026</v>
      </c>
      <c r="F152" s="8">
        <v>20517</v>
      </c>
    </row>
    <row r="153" spans="1:6" x14ac:dyDescent="0.4">
      <c r="A153" s="6">
        <f t="shared" si="5"/>
        <v>152</v>
      </c>
      <c r="B153" s="6" t="str">
        <f t="shared" si="4"/>
        <v>Policy152</v>
      </c>
      <c r="C153" s="7" t="s">
        <v>11</v>
      </c>
      <c r="D153" s="6">
        <v>2023</v>
      </c>
      <c r="E153" s="6">
        <v>2024</v>
      </c>
      <c r="F153" s="8">
        <v>20197</v>
      </c>
    </row>
    <row r="154" spans="1:6" x14ac:dyDescent="0.4">
      <c r="A154" s="6">
        <f t="shared" si="5"/>
        <v>153</v>
      </c>
      <c r="B154" s="6" t="str">
        <f t="shared" si="4"/>
        <v>Policy153</v>
      </c>
      <c r="C154" s="7" t="s">
        <v>12</v>
      </c>
      <c r="D154" s="6">
        <v>2023</v>
      </c>
      <c r="E154" s="6">
        <v>2024</v>
      </c>
      <c r="F154" s="8">
        <v>3483793</v>
      </c>
    </row>
    <row r="155" spans="1:6" x14ac:dyDescent="0.4">
      <c r="A155" s="6">
        <f t="shared" si="5"/>
        <v>154</v>
      </c>
      <c r="B155" s="6" t="str">
        <f t="shared" si="4"/>
        <v>Policy154</v>
      </c>
      <c r="C155" s="7" t="s">
        <v>11</v>
      </c>
      <c r="D155" s="6">
        <v>2021</v>
      </c>
      <c r="E155" s="6">
        <v>2024</v>
      </c>
      <c r="F155" s="8">
        <v>7248</v>
      </c>
    </row>
    <row r="156" spans="1:6" x14ac:dyDescent="0.4">
      <c r="A156" s="6">
        <f t="shared" si="5"/>
        <v>155</v>
      </c>
      <c r="B156" s="6" t="str">
        <f t="shared" si="4"/>
        <v>Policy155</v>
      </c>
      <c r="C156" s="7" t="s">
        <v>11</v>
      </c>
      <c r="D156" s="6">
        <v>2024</v>
      </c>
      <c r="E156" s="6">
        <v>2026</v>
      </c>
      <c r="F156" s="8">
        <v>9801</v>
      </c>
    </row>
    <row r="157" spans="1:6" x14ac:dyDescent="0.4">
      <c r="A157" s="6">
        <f t="shared" si="5"/>
        <v>156</v>
      </c>
      <c r="B157" s="6" t="str">
        <f t="shared" si="4"/>
        <v>Policy156</v>
      </c>
      <c r="C157" s="7" t="s">
        <v>11</v>
      </c>
      <c r="D157" s="6">
        <v>2022</v>
      </c>
      <c r="E157" s="6">
        <v>2026</v>
      </c>
      <c r="F157" s="8">
        <v>13443</v>
      </c>
    </row>
    <row r="158" spans="1:6" x14ac:dyDescent="0.4">
      <c r="A158" s="6">
        <f t="shared" si="5"/>
        <v>157</v>
      </c>
      <c r="B158" s="6" t="str">
        <f t="shared" si="4"/>
        <v>Policy157</v>
      </c>
      <c r="C158" s="7" t="s">
        <v>11</v>
      </c>
      <c r="D158" s="6">
        <v>2021</v>
      </c>
      <c r="E158" s="6">
        <v>2026</v>
      </c>
      <c r="F158" s="8">
        <v>3752</v>
      </c>
    </row>
    <row r="159" spans="1:6" x14ac:dyDescent="0.4">
      <c r="A159" s="6">
        <f t="shared" si="5"/>
        <v>158</v>
      </c>
      <c r="B159" s="6" t="str">
        <f t="shared" si="4"/>
        <v>Policy158</v>
      </c>
      <c r="C159" s="7" t="s">
        <v>11</v>
      </c>
      <c r="D159" s="6">
        <v>2023</v>
      </c>
      <c r="E159" s="6">
        <v>2025</v>
      </c>
      <c r="F159" s="8">
        <v>18639</v>
      </c>
    </row>
    <row r="160" spans="1:6" x14ac:dyDescent="0.4">
      <c r="A160" s="6">
        <f t="shared" si="5"/>
        <v>159</v>
      </c>
      <c r="B160" s="6" t="str">
        <f t="shared" si="4"/>
        <v>Policy159</v>
      </c>
      <c r="C160" s="7" t="s">
        <v>11</v>
      </c>
      <c r="D160" s="6">
        <v>2025</v>
      </c>
      <c r="E160" s="6">
        <v>2026</v>
      </c>
      <c r="F160" s="8">
        <v>21789</v>
      </c>
    </row>
    <row r="161" spans="1:6" x14ac:dyDescent="0.4">
      <c r="A161" s="6">
        <f t="shared" si="5"/>
        <v>160</v>
      </c>
      <c r="B161" s="6" t="str">
        <f t="shared" si="4"/>
        <v>Policy160</v>
      </c>
      <c r="C161" s="7" t="s">
        <v>12</v>
      </c>
      <c r="D161" s="6">
        <v>2021</v>
      </c>
      <c r="E161" s="6">
        <v>2025</v>
      </c>
      <c r="F161" s="8">
        <v>4702559</v>
      </c>
    </row>
    <row r="162" spans="1:6" x14ac:dyDescent="0.4">
      <c r="A162" s="6">
        <f t="shared" si="5"/>
        <v>161</v>
      </c>
      <c r="B162" s="6" t="str">
        <f t="shared" si="4"/>
        <v>Policy161</v>
      </c>
      <c r="C162" s="7" t="s">
        <v>11</v>
      </c>
      <c r="D162" s="6">
        <v>2024</v>
      </c>
      <c r="E162" s="6">
        <v>2025</v>
      </c>
      <c r="F162" s="8">
        <v>21923</v>
      </c>
    </row>
    <row r="163" spans="1:6" x14ac:dyDescent="0.4">
      <c r="A163" s="6">
        <f t="shared" si="5"/>
        <v>162</v>
      </c>
      <c r="B163" s="6" t="str">
        <f t="shared" si="4"/>
        <v>Policy162</v>
      </c>
      <c r="C163" s="7" t="s">
        <v>11</v>
      </c>
      <c r="D163" s="6">
        <v>2021</v>
      </c>
      <c r="E163" s="6">
        <v>2026</v>
      </c>
      <c r="F163" s="8">
        <v>24010</v>
      </c>
    </row>
    <row r="164" spans="1:6" x14ac:dyDescent="0.4">
      <c r="A164" s="6">
        <f t="shared" si="5"/>
        <v>163</v>
      </c>
      <c r="B164" s="6" t="str">
        <f t="shared" si="4"/>
        <v>Policy163</v>
      </c>
      <c r="C164" s="7" t="s">
        <v>11</v>
      </c>
      <c r="D164" s="6">
        <v>2022</v>
      </c>
      <c r="E164" s="6">
        <v>2023</v>
      </c>
      <c r="F164" s="8">
        <v>13583</v>
      </c>
    </row>
    <row r="165" spans="1:6" x14ac:dyDescent="0.4">
      <c r="A165" s="6">
        <f t="shared" si="5"/>
        <v>164</v>
      </c>
      <c r="B165" s="6" t="str">
        <f t="shared" si="4"/>
        <v>Policy164</v>
      </c>
      <c r="C165" s="7" t="s">
        <v>11</v>
      </c>
      <c r="D165" s="6">
        <v>2021</v>
      </c>
      <c r="E165" s="6">
        <v>2026</v>
      </c>
      <c r="F165" s="8">
        <v>25283</v>
      </c>
    </row>
    <row r="166" spans="1:6" x14ac:dyDescent="0.4">
      <c r="A166" s="6">
        <f t="shared" si="5"/>
        <v>165</v>
      </c>
      <c r="B166" s="6" t="str">
        <f t="shared" si="4"/>
        <v>Policy165</v>
      </c>
      <c r="C166" s="7" t="s">
        <v>11</v>
      </c>
      <c r="D166" s="6">
        <v>2023</v>
      </c>
      <c r="E166" s="6">
        <v>2025</v>
      </c>
      <c r="F166" s="8">
        <v>37261</v>
      </c>
    </row>
    <row r="167" spans="1:6" x14ac:dyDescent="0.4">
      <c r="A167" s="6">
        <f t="shared" si="5"/>
        <v>166</v>
      </c>
      <c r="B167" s="6" t="str">
        <f t="shared" si="4"/>
        <v>Policy166</v>
      </c>
      <c r="C167" s="7" t="s">
        <v>11</v>
      </c>
      <c r="D167" s="6">
        <v>2023</v>
      </c>
      <c r="E167" s="6">
        <v>2024</v>
      </c>
      <c r="F167" s="8">
        <v>44390</v>
      </c>
    </row>
    <row r="168" spans="1:6" x14ac:dyDescent="0.4">
      <c r="A168" s="6">
        <f t="shared" si="5"/>
        <v>167</v>
      </c>
      <c r="B168" s="6" t="str">
        <f t="shared" si="4"/>
        <v>Policy167</v>
      </c>
      <c r="C168" s="7" t="s">
        <v>12</v>
      </c>
      <c r="D168" s="6">
        <v>2021</v>
      </c>
      <c r="E168" s="6">
        <v>2024</v>
      </c>
      <c r="F168" s="8">
        <v>2291576</v>
      </c>
    </row>
    <row r="169" spans="1:6" x14ac:dyDescent="0.4">
      <c r="A169" s="6">
        <f t="shared" si="5"/>
        <v>168</v>
      </c>
      <c r="B169" s="6" t="str">
        <f t="shared" si="4"/>
        <v>Policy168</v>
      </c>
      <c r="C169" s="7" t="s">
        <v>12</v>
      </c>
      <c r="D169" s="6">
        <v>2025</v>
      </c>
      <c r="E169" s="6">
        <v>2026</v>
      </c>
      <c r="F169" s="8">
        <v>707082</v>
      </c>
    </row>
    <row r="170" spans="1:6" x14ac:dyDescent="0.4">
      <c r="A170" s="6">
        <f t="shared" si="5"/>
        <v>169</v>
      </c>
      <c r="B170" s="6" t="str">
        <f t="shared" si="4"/>
        <v>Policy169</v>
      </c>
      <c r="C170" s="7" t="s">
        <v>12</v>
      </c>
      <c r="D170" s="6">
        <v>2024</v>
      </c>
      <c r="E170" s="6">
        <v>2025</v>
      </c>
      <c r="F170" s="8">
        <v>3148965</v>
      </c>
    </row>
    <row r="171" spans="1:6" x14ac:dyDescent="0.4">
      <c r="A171" s="6">
        <f t="shared" si="5"/>
        <v>170</v>
      </c>
      <c r="B171" s="6" t="str">
        <f t="shared" si="4"/>
        <v>Policy170</v>
      </c>
      <c r="C171" s="7" t="s">
        <v>11</v>
      </c>
      <c r="D171" s="6">
        <v>2025</v>
      </c>
      <c r="E171" s="6">
        <v>2026</v>
      </c>
      <c r="F171" s="8">
        <v>24464</v>
      </c>
    </row>
    <row r="172" spans="1:6" x14ac:dyDescent="0.4">
      <c r="A172" s="6">
        <f t="shared" si="5"/>
        <v>171</v>
      </c>
      <c r="B172" s="6" t="str">
        <f t="shared" si="4"/>
        <v>Policy171</v>
      </c>
      <c r="C172" s="7" t="s">
        <v>11</v>
      </c>
      <c r="D172" s="6">
        <v>2024</v>
      </c>
      <c r="E172" s="6">
        <v>2026</v>
      </c>
      <c r="F172" s="8">
        <v>2672</v>
      </c>
    </row>
    <row r="173" spans="1:6" x14ac:dyDescent="0.4">
      <c r="A173" s="6">
        <f t="shared" si="5"/>
        <v>172</v>
      </c>
      <c r="B173" s="6" t="str">
        <f t="shared" si="4"/>
        <v>Policy172</v>
      </c>
      <c r="C173" s="7" t="s">
        <v>12</v>
      </c>
      <c r="D173" s="6">
        <v>2023</v>
      </c>
      <c r="E173" s="6">
        <v>2025</v>
      </c>
      <c r="F173" s="8">
        <v>1970242</v>
      </c>
    </row>
    <row r="174" spans="1:6" x14ac:dyDescent="0.4">
      <c r="A174" s="6">
        <f t="shared" si="5"/>
        <v>173</v>
      </c>
      <c r="B174" s="6" t="str">
        <f t="shared" si="4"/>
        <v>Policy173</v>
      </c>
      <c r="C174" s="7" t="s">
        <v>12</v>
      </c>
      <c r="D174" s="6">
        <v>2022</v>
      </c>
      <c r="E174" s="6">
        <v>2025</v>
      </c>
      <c r="F174" s="8">
        <v>1177239</v>
      </c>
    </row>
    <row r="175" spans="1:6" x14ac:dyDescent="0.4">
      <c r="A175" s="6">
        <f t="shared" si="5"/>
        <v>174</v>
      </c>
      <c r="B175" s="6" t="str">
        <f t="shared" si="4"/>
        <v>Policy174</v>
      </c>
      <c r="C175" s="7" t="s">
        <v>12</v>
      </c>
      <c r="D175" s="6">
        <v>2024</v>
      </c>
      <c r="E175" s="6">
        <v>2026</v>
      </c>
      <c r="F175" s="8">
        <v>4574516</v>
      </c>
    </row>
    <row r="176" spans="1:6" x14ac:dyDescent="0.4">
      <c r="A176" s="6">
        <f t="shared" si="5"/>
        <v>175</v>
      </c>
      <c r="B176" s="6" t="str">
        <f t="shared" si="4"/>
        <v>Policy175</v>
      </c>
      <c r="C176" s="7" t="s">
        <v>11</v>
      </c>
      <c r="D176" s="6">
        <v>2024</v>
      </c>
      <c r="E176" s="6">
        <v>2026</v>
      </c>
      <c r="F176" s="8">
        <v>44198</v>
      </c>
    </row>
    <row r="177" spans="1:6" x14ac:dyDescent="0.4">
      <c r="A177" s="6">
        <f t="shared" si="5"/>
        <v>176</v>
      </c>
      <c r="B177" s="6" t="str">
        <f t="shared" si="4"/>
        <v>Policy176</v>
      </c>
      <c r="C177" s="7" t="s">
        <v>11</v>
      </c>
      <c r="D177" s="6">
        <v>2025</v>
      </c>
      <c r="E177" s="6">
        <v>2026</v>
      </c>
      <c r="F177" s="8">
        <v>44250</v>
      </c>
    </row>
    <row r="178" spans="1:6" x14ac:dyDescent="0.4">
      <c r="A178" s="6">
        <f t="shared" si="5"/>
        <v>177</v>
      </c>
      <c r="B178" s="6" t="str">
        <f t="shared" si="4"/>
        <v>Policy177</v>
      </c>
      <c r="C178" s="7" t="s">
        <v>11</v>
      </c>
      <c r="D178" s="6">
        <v>2022</v>
      </c>
      <c r="E178" s="6">
        <v>2024</v>
      </c>
      <c r="F178" s="8">
        <v>27647</v>
      </c>
    </row>
    <row r="179" spans="1:6" x14ac:dyDescent="0.4">
      <c r="A179" s="6">
        <f t="shared" si="5"/>
        <v>178</v>
      </c>
      <c r="B179" s="6" t="str">
        <f t="shared" si="4"/>
        <v>Policy178</v>
      </c>
      <c r="C179" s="7" t="s">
        <v>12</v>
      </c>
      <c r="D179" s="6">
        <v>2025</v>
      </c>
      <c r="E179" s="6">
        <v>2026</v>
      </c>
      <c r="F179" s="8">
        <v>425381</v>
      </c>
    </row>
    <row r="180" spans="1:6" x14ac:dyDescent="0.4">
      <c r="A180" s="6">
        <f t="shared" si="5"/>
        <v>179</v>
      </c>
      <c r="B180" s="6" t="str">
        <f t="shared" si="4"/>
        <v>Policy179</v>
      </c>
      <c r="C180" s="7" t="s">
        <v>11</v>
      </c>
      <c r="D180" s="6">
        <v>2023</v>
      </c>
      <c r="E180" s="6">
        <v>2026</v>
      </c>
      <c r="F180" s="8">
        <v>6685</v>
      </c>
    </row>
    <row r="181" spans="1:6" x14ac:dyDescent="0.4">
      <c r="A181" s="6">
        <f t="shared" si="5"/>
        <v>180</v>
      </c>
      <c r="B181" s="6" t="str">
        <f t="shared" si="4"/>
        <v>Policy180</v>
      </c>
      <c r="C181" s="7" t="s">
        <v>12</v>
      </c>
      <c r="D181" s="6">
        <v>2021</v>
      </c>
      <c r="E181" s="6">
        <v>2022</v>
      </c>
      <c r="F181" s="8">
        <v>3019449</v>
      </c>
    </row>
    <row r="182" spans="1:6" x14ac:dyDescent="0.4">
      <c r="A182" s="6">
        <f t="shared" si="5"/>
        <v>181</v>
      </c>
      <c r="B182" s="6" t="str">
        <f t="shared" si="4"/>
        <v>Policy181</v>
      </c>
      <c r="C182" s="7" t="s">
        <v>11</v>
      </c>
      <c r="D182" s="6">
        <v>2025</v>
      </c>
      <c r="E182" s="6">
        <v>2026</v>
      </c>
      <c r="F182" s="8">
        <v>45983</v>
      </c>
    </row>
    <row r="183" spans="1:6" x14ac:dyDescent="0.4">
      <c r="A183" s="6">
        <f t="shared" si="5"/>
        <v>182</v>
      </c>
      <c r="B183" s="6" t="str">
        <f t="shared" si="4"/>
        <v>Policy182</v>
      </c>
      <c r="C183" s="7" t="s">
        <v>12</v>
      </c>
      <c r="D183" s="6">
        <v>2023</v>
      </c>
      <c r="E183" s="6">
        <v>2025</v>
      </c>
      <c r="F183" s="8">
        <v>2103783</v>
      </c>
    </row>
    <row r="184" spans="1:6" x14ac:dyDescent="0.4">
      <c r="A184" s="6">
        <f t="shared" si="5"/>
        <v>183</v>
      </c>
      <c r="B184" s="6" t="str">
        <f t="shared" si="4"/>
        <v>Policy183</v>
      </c>
      <c r="C184" s="7" t="s">
        <v>11</v>
      </c>
      <c r="D184" s="6">
        <v>2023</v>
      </c>
      <c r="E184" s="6">
        <v>2026</v>
      </c>
      <c r="F184" s="8">
        <v>2099</v>
      </c>
    </row>
    <row r="185" spans="1:6" x14ac:dyDescent="0.4">
      <c r="A185" s="6">
        <f t="shared" si="5"/>
        <v>184</v>
      </c>
      <c r="B185" s="6" t="str">
        <f t="shared" si="4"/>
        <v>Policy184</v>
      </c>
      <c r="C185" s="7" t="s">
        <v>12</v>
      </c>
      <c r="D185" s="6">
        <v>2025</v>
      </c>
      <c r="E185" s="6">
        <v>2026</v>
      </c>
      <c r="F185" s="8">
        <v>959321</v>
      </c>
    </row>
    <row r="186" spans="1:6" x14ac:dyDescent="0.4">
      <c r="A186" s="6">
        <f t="shared" si="5"/>
        <v>185</v>
      </c>
      <c r="B186" s="6" t="str">
        <f t="shared" si="4"/>
        <v>Policy185</v>
      </c>
      <c r="C186" s="7" t="s">
        <v>11</v>
      </c>
      <c r="D186" s="6">
        <v>2022</v>
      </c>
      <c r="E186" s="6">
        <v>2026</v>
      </c>
      <c r="F186" s="8">
        <v>18820</v>
      </c>
    </row>
    <row r="187" spans="1:6" x14ac:dyDescent="0.4">
      <c r="A187" s="6">
        <f t="shared" si="5"/>
        <v>186</v>
      </c>
      <c r="B187" s="6" t="str">
        <f t="shared" si="4"/>
        <v>Policy186</v>
      </c>
      <c r="C187" s="7" t="s">
        <v>12</v>
      </c>
      <c r="D187" s="6">
        <v>2021</v>
      </c>
      <c r="E187" s="6">
        <v>2026</v>
      </c>
      <c r="F187" s="8">
        <v>695916</v>
      </c>
    </row>
    <row r="188" spans="1:6" x14ac:dyDescent="0.4">
      <c r="A188" s="6">
        <f t="shared" si="5"/>
        <v>187</v>
      </c>
      <c r="B188" s="6" t="str">
        <f t="shared" si="4"/>
        <v>Policy187</v>
      </c>
      <c r="C188" s="7" t="s">
        <v>11</v>
      </c>
      <c r="D188" s="6">
        <v>2025</v>
      </c>
      <c r="E188" s="6">
        <v>2026</v>
      </c>
      <c r="F188" s="8">
        <v>3672</v>
      </c>
    </row>
    <row r="189" spans="1:6" x14ac:dyDescent="0.4">
      <c r="A189" s="6">
        <f t="shared" si="5"/>
        <v>188</v>
      </c>
      <c r="B189" s="6" t="str">
        <f t="shared" si="4"/>
        <v>Policy188</v>
      </c>
      <c r="C189" s="7" t="s">
        <v>11</v>
      </c>
      <c r="D189" s="6">
        <v>2025</v>
      </c>
      <c r="E189" s="6">
        <v>2026</v>
      </c>
      <c r="F189" s="8">
        <v>15690</v>
      </c>
    </row>
    <row r="190" spans="1:6" x14ac:dyDescent="0.4">
      <c r="A190" s="6">
        <f t="shared" si="5"/>
        <v>189</v>
      </c>
      <c r="B190" s="6" t="str">
        <f t="shared" si="4"/>
        <v>Policy189</v>
      </c>
      <c r="C190" s="7" t="s">
        <v>12</v>
      </c>
      <c r="D190" s="6">
        <v>2023</v>
      </c>
      <c r="E190" s="6">
        <v>2026</v>
      </c>
      <c r="F190" s="8">
        <v>76386</v>
      </c>
    </row>
    <row r="191" spans="1:6" x14ac:dyDescent="0.4">
      <c r="A191" s="6">
        <f t="shared" si="5"/>
        <v>190</v>
      </c>
      <c r="B191" s="6" t="str">
        <f t="shared" si="4"/>
        <v>Policy190</v>
      </c>
      <c r="C191" s="7" t="s">
        <v>11</v>
      </c>
      <c r="D191" s="6">
        <v>2022</v>
      </c>
      <c r="E191" s="6">
        <v>2025</v>
      </c>
      <c r="F191" s="8">
        <v>9136</v>
      </c>
    </row>
    <row r="192" spans="1:6" x14ac:dyDescent="0.4">
      <c r="A192" s="6">
        <f t="shared" si="5"/>
        <v>191</v>
      </c>
      <c r="B192" s="6" t="str">
        <f t="shared" si="4"/>
        <v>Policy191</v>
      </c>
      <c r="C192" s="7" t="s">
        <v>12</v>
      </c>
      <c r="D192" s="6">
        <v>2023</v>
      </c>
      <c r="E192" s="6">
        <v>2026</v>
      </c>
      <c r="F192" s="8">
        <v>3511559</v>
      </c>
    </row>
    <row r="193" spans="1:6" x14ac:dyDescent="0.4">
      <c r="A193" s="6">
        <f t="shared" si="5"/>
        <v>192</v>
      </c>
      <c r="B193" s="6" t="str">
        <f t="shared" si="4"/>
        <v>Policy192</v>
      </c>
      <c r="C193" s="7" t="s">
        <v>11</v>
      </c>
      <c r="D193" s="6">
        <v>2021</v>
      </c>
      <c r="E193" s="6">
        <v>2024</v>
      </c>
      <c r="F193" s="8">
        <v>1078</v>
      </c>
    </row>
    <row r="194" spans="1:6" x14ac:dyDescent="0.4">
      <c r="A194" s="6">
        <f t="shared" si="5"/>
        <v>193</v>
      </c>
      <c r="B194" s="6" t="str">
        <f t="shared" si="4"/>
        <v>Policy193</v>
      </c>
      <c r="C194" s="7" t="s">
        <v>11</v>
      </c>
      <c r="D194" s="6">
        <v>2025</v>
      </c>
      <c r="E194" s="6">
        <v>2026</v>
      </c>
      <c r="F194" s="8">
        <v>49388</v>
      </c>
    </row>
    <row r="195" spans="1:6" x14ac:dyDescent="0.4">
      <c r="A195" s="6">
        <f t="shared" si="5"/>
        <v>194</v>
      </c>
      <c r="B195" s="6" t="str">
        <f t="shared" ref="B195:B258" si="6">"Policy"&amp;A195</f>
        <v>Policy194</v>
      </c>
      <c r="C195" s="7" t="s">
        <v>12</v>
      </c>
      <c r="D195" s="6">
        <v>2023</v>
      </c>
      <c r="E195" s="6">
        <v>2025</v>
      </c>
      <c r="F195" s="8">
        <v>990703</v>
      </c>
    </row>
    <row r="196" spans="1:6" x14ac:dyDescent="0.4">
      <c r="A196" s="6">
        <f t="shared" ref="A196:A259" si="7">A195+1</f>
        <v>195</v>
      </c>
      <c r="B196" s="6" t="str">
        <f t="shared" si="6"/>
        <v>Policy195</v>
      </c>
      <c r="C196" s="7" t="s">
        <v>12</v>
      </c>
      <c r="D196" s="6">
        <v>2021</v>
      </c>
      <c r="E196" s="6">
        <v>2022</v>
      </c>
      <c r="F196" s="8">
        <v>2699373</v>
      </c>
    </row>
    <row r="197" spans="1:6" x14ac:dyDescent="0.4">
      <c r="A197" s="6">
        <f t="shared" si="7"/>
        <v>196</v>
      </c>
      <c r="B197" s="6" t="str">
        <f t="shared" si="6"/>
        <v>Policy196</v>
      </c>
      <c r="C197" s="7" t="s">
        <v>11</v>
      </c>
      <c r="D197" s="6">
        <v>2022</v>
      </c>
      <c r="E197" s="6">
        <v>2024</v>
      </c>
      <c r="F197" s="8">
        <v>26066</v>
      </c>
    </row>
    <row r="198" spans="1:6" x14ac:dyDescent="0.4">
      <c r="A198" s="6">
        <f t="shared" si="7"/>
        <v>197</v>
      </c>
      <c r="B198" s="6" t="str">
        <f t="shared" si="6"/>
        <v>Policy197</v>
      </c>
      <c r="C198" s="7" t="s">
        <v>12</v>
      </c>
      <c r="D198" s="6">
        <v>2022</v>
      </c>
      <c r="E198" s="6">
        <v>2023</v>
      </c>
      <c r="F198" s="8">
        <v>4506548</v>
      </c>
    </row>
    <row r="199" spans="1:6" x14ac:dyDescent="0.4">
      <c r="A199" s="6">
        <f t="shared" si="7"/>
        <v>198</v>
      </c>
      <c r="B199" s="6" t="str">
        <f t="shared" si="6"/>
        <v>Policy198</v>
      </c>
      <c r="C199" s="7" t="s">
        <v>11</v>
      </c>
      <c r="D199" s="6">
        <v>2023</v>
      </c>
      <c r="E199" s="6">
        <v>2025</v>
      </c>
      <c r="F199" s="8">
        <v>4733</v>
      </c>
    </row>
    <row r="200" spans="1:6" x14ac:dyDescent="0.4">
      <c r="A200" s="6">
        <f t="shared" si="7"/>
        <v>199</v>
      </c>
      <c r="B200" s="6" t="str">
        <f t="shared" si="6"/>
        <v>Policy199</v>
      </c>
      <c r="C200" s="7" t="s">
        <v>12</v>
      </c>
      <c r="D200" s="6">
        <v>2022</v>
      </c>
      <c r="E200" s="6">
        <v>2025</v>
      </c>
      <c r="F200" s="8">
        <v>2513684</v>
      </c>
    </row>
    <row r="201" spans="1:6" x14ac:dyDescent="0.4">
      <c r="A201" s="6">
        <f t="shared" si="7"/>
        <v>200</v>
      </c>
      <c r="B201" s="6" t="str">
        <f t="shared" si="6"/>
        <v>Policy200</v>
      </c>
      <c r="C201" s="7" t="s">
        <v>11</v>
      </c>
      <c r="D201" s="6">
        <v>2025</v>
      </c>
      <c r="E201" s="6">
        <v>2026</v>
      </c>
      <c r="F201" s="8">
        <v>9438</v>
      </c>
    </row>
    <row r="202" spans="1:6" x14ac:dyDescent="0.4">
      <c r="A202" s="6">
        <f t="shared" si="7"/>
        <v>201</v>
      </c>
      <c r="B202" s="6" t="str">
        <f t="shared" si="6"/>
        <v>Policy201</v>
      </c>
      <c r="C202" s="7" t="s">
        <v>11</v>
      </c>
      <c r="D202" s="6">
        <v>2024</v>
      </c>
      <c r="E202" s="6">
        <v>2025</v>
      </c>
      <c r="F202" s="8">
        <v>24977</v>
      </c>
    </row>
    <row r="203" spans="1:6" x14ac:dyDescent="0.4">
      <c r="A203" s="6">
        <f t="shared" si="7"/>
        <v>202</v>
      </c>
      <c r="B203" s="6" t="str">
        <f t="shared" si="6"/>
        <v>Policy202</v>
      </c>
      <c r="C203" s="7" t="s">
        <v>11</v>
      </c>
      <c r="D203" s="6">
        <v>2025</v>
      </c>
      <c r="E203" s="6">
        <v>2026</v>
      </c>
      <c r="F203" s="8">
        <v>14246</v>
      </c>
    </row>
    <row r="204" spans="1:6" x14ac:dyDescent="0.4">
      <c r="A204" s="6">
        <f t="shared" si="7"/>
        <v>203</v>
      </c>
      <c r="B204" s="6" t="str">
        <f t="shared" si="6"/>
        <v>Policy203</v>
      </c>
      <c r="C204" s="7" t="s">
        <v>12</v>
      </c>
      <c r="D204" s="6">
        <v>2023</v>
      </c>
      <c r="E204" s="6">
        <v>2026</v>
      </c>
      <c r="F204" s="8">
        <v>3405679</v>
      </c>
    </row>
    <row r="205" spans="1:6" x14ac:dyDescent="0.4">
      <c r="A205" s="6">
        <f t="shared" si="7"/>
        <v>204</v>
      </c>
      <c r="B205" s="6" t="str">
        <f t="shared" si="6"/>
        <v>Policy204</v>
      </c>
      <c r="C205" s="7" t="s">
        <v>11</v>
      </c>
      <c r="D205" s="6">
        <v>2024</v>
      </c>
      <c r="E205" s="6">
        <v>2025</v>
      </c>
      <c r="F205" s="8">
        <v>48984</v>
      </c>
    </row>
    <row r="206" spans="1:6" x14ac:dyDescent="0.4">
      <c r="A206" s="6">
        <f t="shared" si="7"/>
        <v>205</v>
      </c>
      <c r="B206" s="6" t="str">
        <f t="shared" si="6"/>
        <v>Policy205</v>
      </c>
      <c r="C206" s="7" t="s">
        <v>11</v>
      </c>
      <c r="D206" s="6">
        <v>2021</v>
      </c>
      <c r="E206" s="6">
        <v>2022</v>
      </c>
      <c r="F206" s="8">
        <v>14715</v>
      </c>
    </row>
    <row r="207" spans="1:6" x14ac:dyDescent="0.4">
      <c r="A207" s="6">
        <f t="shared" si="7"/>
        <v>206</v>
      </c>
      <c r="B207" s="6" t="str">
        <f t="shared" si="6"/>
        <v>Policy206</v>
      </c>
      <c r="C207" s="7" t="s">
        <v>12</v>
      </c>
      <c r="D207" s="6">
        <v>2021</v>
      </c>
      <c r="E207" s="6">
        <v>2025</v>
      </c>
      <c r="F207" s="8">
        <v>3546480</v>
      </c>
    </row>
    <row r="208" spans="1:6" x14ac:dyDescent="0.4">
      <c r="A208" s="6">
        <f t="shared" si="7"/>
        <v>207</v>
      </c>
      <c r="B208" s="6" t="str">
        <f t="shared" si="6"/>
        <v>Policy207</v>
      </c>
      <c r="C208" s="7" t="s">
        <v>12</v>
      </c>
      <c r="D208" s="6">
        <v>2022</v>
      </c>
      <c r="E208" s="6">
        <v>2024</v>
      </c>
      <c r="F208" s="8">
        <v>4511654</v>
      </c>
    </row>
    <row r="209" spans="1:6" x14ac:dyDescent="0.4">
      <c r="A209" s="6">
        <f t="shared" si="7"/>
        <v>208</v>
      </c>
      <c r="B209" s="6" t="str">
        <f t="shared" si="6"/>
        <v>Policy208</v>
      </c>
      <c r="C209" s="7" t="s">
        <v>11</v>
      </c>
      <c r="D209" s="6">
        <v>2025</v>
      </c>
      <c r="E209" s="6">
        <v>2026</v>
      </c>
      <c r="F209" s="8">
        <v>43719</v>
      </c>
    </row>
    <row r="210" spans="1:6" x14ac:dyDescent="0.4">
      <c r="A210" s="6">
        <f t="shared" si="7"/>
        <v>209</v>
      </c>
      <c r="B210" s="6" t="str">
        <f t="shared" si="6"/>
        <v>Policy209</v>
      </c>
      <c r="C210" s="7" t="s">
        <v>12</v>
      </c>
      <c r="D210" s="6">
        <v>2025</v>
      </c>
      <c r="E210" s="6">
        <v>2026</v>
      </c>
      <c r="F210" s="8">
        <v>3635461</v>
      </c>
    </row>
    <row r="211" spans="1:6" x14ac:dyDescent="0.4">
      <c r="A211" s="6">
        <f t="shared" si="7"/>
        <v>210</v>
      </c>
      <c r="B211" s="6" t="str">
        <f t="shared" si="6"/>
        <v>Policy210</v>
      </c>
      <c r="C211" s="7" t="s">
        <v>12</v>
      </c>
      <c r="D211" s="6">
        <v>2021</v>
      </c>
      <c r="E211" s="6">
        <v>2025</v>
      </c>
      <c r="F211" s="8">
        <v>4440192</v>
      </c>
    </row>
    <row r="212" spans="1:6" x14ac:dyDescent="0.4">
      <c r="A212" s="6">
        <f t="shared" si="7"/>
        <v>211</v>
      </c>
      <c r="B212" s="6" t="str">
        <f t="shared" si="6"/>
        <v>Policy211</v>
      </c>
      <c r="C212" s="7" t="s">
        <v>11</v>
      </c>
      <c r="D212" s="6">
        <v>2022</v>
      </c>
      <c r="E212" s="6">
        <v>2024</v>
      </c>
      <c r="F212" s="8">
        <v>13874</v>
      </c>
    </row>
    <row r="213" spans="1:6" x14ac:dyDescent="0.4">
      <c r="A213" s="6">
        <f t="shared" si="7"/>
        <v>212</v>
      </c>
      <c r="B213" s="6" t="str">
        <f t="shared" si="6"/>
        <v>Policy212</v>
      </c>
      <c r="C213" s="7" t="s">
        <v>11</v>
      </c>
      <c r="D213" s="6">
        <v>2025</v>
      </c>
      <c r="E213" s="6">
        <v>2026</v>
      </c>
      <c r="F213" s="8">
        <v>30908</v>
      </c>
    </row>
    <row r="214" spans="1:6" x14ac:dyDescent="0.4">
      <c r="A214" s="6">
        <f t="shared" si="7"/>
        <v>213</v>
      </c>
      <c r="B214" s="6" t="str">
        <f t="shared" si="6"/>
        <v>Policy213</v>
      </c>
      <c r="C214" s="7" t="s">
        <v>11</v>
      </c>
      <c r="D214" s="6">
        <v>2021</v>
      </c>
      <c r="E214" s="6">
        <v>2022</v>
      </c>
      <c r="F214" s="8">
        <v>21041</v>
      </c>
    </row>
    <row r="215" spans="1:6" x14ac:dyDescent="0.4">
      <c r="A215" s="6">
        <f t="shared" si="7"/>
        <v>214</v>
      </c>
      <c r="B215" s="6" t="str">
        <f t="shared" si="6"/>
        <v>Policy214</v>
      </c>
      <c r="C215" s="7" t="s">
        <v>12</v>
      </c>
      <c r="D215" s="6">
        <v>2023</v>
      </c>
      <c r="E215" s="6">
        <v>2026</v>
      </c>
      <c r="F215" s="8">
        <v>1141971</v>
      </c>
    </row>
    <row r="216" spans="1:6" x14ac:dyDescent="0.4">
      <c r="A216" s="6">
        <f t="shared" si="7"/>
        <v>215</v>
      </c>
      <c r="B216" s="6" t="str">
        <f t="shared" si="6"/>
        <v>Policy215</v>
      </c>
      <c r="C216" s="7" t="s">
        <v>12</v>
      </c>
      <c r="D216" s="6">
        <v>2023</v>
      </c>
      <c r="E216" s="6">
        <v>2026</v>
      </c>
      <c r="F216" s="8">
        <v>653080</v>
      </c>
    </row>
    <row r="217" spans="1:6" x14ac:dyDescent="0.4">
      <c r="A217" s="6">
        <f t="shared" si="7"/>
        <v>216</v>
      </c>
      <c r="B217" s="6" t="str">
        <f t="shared" si="6"/>
        <v>Policy216</v>
      </c>
      <c r="C217" s="7" t="s">
        <v>12</v>
      </c>
      <c r="D217" s="6">
        <v>2022</v>
      </c>
      <c r="E217" s="6">
        <v>2023</v>
      </c>
      <c r="F217" s="8">
        <v>886738</v>
      </c>
    </row>
    <row r="218" spans="1:6" x14ac:dyDescent="0.4">
      <c r="A218" s="6">
        <f t="shared" si="7"/>
        <v>217</v>
      </c>
      <c r="B218" s="6" t="str">
        <f t="shared" si="6"/>
        <v>Policy217</v>
      </c>
      <c r="C218" s="7" t="s">
        <v>11</v>
      </c>
      <c r="D218" s="6">
        <v>2021</v>
      </c>
      <c r="E218" s="6">
        <v>2025</v>
      </c>
      <c r="F218" s="8">
        <v>24413</v>
      </c>
    </row>
    <row r="219" spans="1:6" x14ac:dyDescent="0.4">
      <c r="A219" s="6">
        <f t="shared" si="7"/>
        <v>218</v>
      </c>
      <c r="B219" s="6" t="str">
        <f t="shared" si="6"/>
        <v>Policy218</v>
      </c>
      <c r="C219" s="7" t="s">
        <v>11</v>
      </c>
      <c r="D219" s="6">
        <v>2021</v>
      </c>
      <c r="E219" s="6">
        <v>2026</v>
      </c>
      <c r="F219" s="8">
        <v>29012</v>
      </c>
    </row>
    <row r="220" spans="1:6" x14ac:dyDescent="0.4">
      <c r="A220" s="6">
        <f t="shared" si="7"/>
        <v>219</v>
      </c>
      <c r="B220" s="6" t="str">
        <f t="shared" si="6"/>
        <v>Policy219</v>
      </c>
      <c r="C220" s="7" t="s">
        <v>11</v>
      </c>
      <c r="D220" s="6">
        <v>2021</v>
      </c>
      <c r="E220" s="6">
        <v>2022</v>
      </c>
      <c r="F220" s="8">
        <v>35167</v>
      </c>
    </row>
    <row r="221" spans="1:6" x14ac:dyDescent="0.4">
      <c r="A221" s="6">
        <f t="shared" si="7"/>
        <v>220</v>
      </c>
      <c r="B221" s="6" t="str">
        <f t="shared" si="6"/>
        <v>Policy220</v>
      </c>
      <c r="C221" s="7" t="s">
        <v>12</v>
      </c>
      <c r="D221" s="6">
        <v>2021</v>
      </c>
      <c r="E221" s="6">
        <v>2026</v>
      </c>
      <c r="F221" s="8">
        <v>1178373</v>
      </c>
    </row>
    <row r="222" spans="1:6" x14ac:dyDescent="0.4">
      <c r="A222" s="6">
        <f t="shared" si="7"/>
        <v>221</v>
      </c>
      <c r="B222" s="6" t="str">
        <f t="shared" si="6"/>
        <v>Policy221</v>
      </c>
      <c r="C222" s="7" t="s">
        <v>11</v>
      </c>
      <c r="D222" s="6">
        <v>2021</v>
      </c>
      <c r="E222" s="6">
        <v>2022</v>
      </c>
      <c r="F222" s="8">
        <v>28640</v>
      </c>
    </row>
    <row r="223" spans="1:6" x14ac:dyDescent="0.4">
      <c r="A223" s="6">
        <f t="shared" si="7"/>
        <v>222</v>
      </c>
      <c r="B223" s="6" t="str">
        <f t="shared" si="6"/>
        <v>Policy222</v>
      </c>
      <c r="C223" s="7" t="s">
        <v>11</v>
      </c>
      <c r="D223" s="6">
        <v>2022</v>
      </c>
      <c r="E223" s="6">
        <v>2025</v>
      </c>
      <c r="F223" s="8">
        <v>11607</v>
      </c>
    </row>
    <row r="224" spans="1:6" x14ac:dyDescent="0.4">
      <c r="A224" s="6">
        <f t="shared" si="7"/>
        <v>223</v>
      </c>
      <c r="B224" s="6" t="str">
        <f t="shared" si="6"/>
        <v>Policy223</v>
      </c>
      <c r="C224" s="7" t="s">
        <v>12</v>
      </c>
      <c r="D224" s="6">
        <v>2021</v>
      </c>
      <c r="E224" s="6">
        <v>2026</v>
      </c>
      <c r="F224" s="8">
        <v>1412213</v>
      </c>
    </row>
    <row r="225" spans="1:6" x14ac:dyDescent="0.4">
      <c r="A225" s="6">
        <f t="shared" si="7"/>
        <v>224</v>
      </c>
      <c r="B225" s="6" t="str">
        <f t="shared" si="6"/>
        <v>Policy224</v>
      </c>
      <c r="C225" s="7" t="s">
        <v>12</v>
      </c>
      <c r="D225" s="6">
        <v>2022</v>
      </c>
      <c r="E225" s="6">
        <v>2026</v>
      </c>
      <c r="F225" s="8">
        <v>385524</v>
      </c>
    </row>
    <row r="226" spans="1:6" x14ac:dyDescent="0.4">
      <c r="A226" s="6">
        <f t="shared" si="7"/>
        <v>225</v>
      </c>
      <c r="B226" s="6" t="str">
        <f t="shared" si="6"/>
        <v>Policy225</v>
      </c>
      <c r="C226" s="7" t="s">
        <v>11</v>
      </c>
      <c r="D226" s="6">
        <v>2021</v>
      </c>
      <c r="E226" s="6">
        <v>2023</v>
      </c>
      <c r="F226" s="8">
        <v>45275</v>
      </c>
    </row>
    <row r="227" spans="1:6" x14ac:dyDescent="0.4">
      <c r="A227" s="6">
        <f t="shared" si="7"/>
        <v>226</v>
      </c>
      <c r="B227" s="6" t="str">
        <f t="shared" si="6"/>
        <v>Policy226</v>
      </c>
      <c r="C227" s="7" t="s">
        <v>12</v>
      </c>
      <c r="D227" s="6">
        <v>2024</v>
      </c>
      <c r="E227" s="6">
        <v>2025</v>
      </c>
      <c r="F227" s="8">
        <v>4111875</v>
      </c>
    </row>
    <row r="228" spans="1:6" x14ac:dyDescent="0.4">
      <c r="A228" s="6">
        <f t="shared" si="7"/>
        <v>227</v>
      </c>
      <c r="B228" s="6" t="str">
        <f t="shared" si="6"/>
        <v>Policy227</v>
      </c>
      <c r="C228" s="7" t="s">
        <v>12</v>
      </c>
      <c r="D228" s="6">
        <v>2021</v>
      </c>
      <c r="E228" s="6">
        <v>2022</v>
      </c>
      <c r="F228" s="8">
        <v>2674973</v>
      </c>
    </row>
    <row r="229" spans="1:6" x14ac:dyDescent="0.4">
      <c r="A229" s="6">
        <f t="shared" si="7"/>
        <v>228</v>
      </c>
      <c r="B229" s="6" t="str">
        <f t="shared" si="6"/>
        <v>Policy228</v>
      </c>
      <c r="C229" s="7" t="s">
        <v>11</v>
      </c>
      <c r="D229" s="6">
        <v>2021</v>
      </c>
      <c r="E229" s="6">
        <v>2023</v>
      </c>
      <c r="F229" s="8">
        <v>27992</v>
      </c>
    </row>
    <row r="230" spans="1:6" x14ac:dyDescent="0.4">
      <c r="A230" s="6">
        <f t="shared" si="7"/>
        <v>229</v>
      </c>
      <c r="B230" s="6" t="str">
        <f t="shared" si="6"/>
        <v>Policy229</v>
      </c>
      <c r="C230" s="7" t="s">
        <v>11</v>
      </c>
      <c r="D230" s="6">
        <v>2025</v>
      </c>
      <c r="E230" s="6">
        <v>2026</v>
      </c>
      <c r="F230" s="8">
        <v>29480</v>
      </c>
    </row>
    <row r="231" spans="1:6" x14ac:dyDescent="0.4">
      <c r="A231" s="6">
        <f t="shared" si="7"/>
        <v>230</v>
      </c>
      <c r="B231" s="6" t="str">
        <f t="shared" si="6"/>
        <v>Policy230</v>
      </c>
      <c r="C231" s="7" t="s">
        <v>12</v>
      </c>
      <c r="D231" s="6">
        <v>2022</v>
      </c>
      <c r="E231" s="6">
        <v>2023</v>
      </c>
      <c r="F231" s="8">
        <v>3832481</v>
      </c>
    </row>
    <row r="232" spans="1:6" x14ac:dyDescent="0.4">
      <c r="A232" s="6">
        <f t="shared" si="7"/>
        <v>231</v>
      </c>
      <c r="B232" s="6" t="str">
        <f t="shared" si="6"/>
        <v>Policy231</v>
      </c>
      <c r="C232" s="7" t="s">
        <v>12</v>
      </c>
      <c r="D232" s="6">
        <v>2025</v>
      </c>
      <c r="E232" s="6">
        <v>2026</v>
      </c>
      <c r="F232" s="8">
        <v>1828538</v>
      </c>
    </row>
    <row r="233" spans="1:6" x14ac:dyDescent="0.4">
      <c r="A233" s="6">
        <f t="shared" si="7"/>
        <v>232</v>
      </c>
      <c r="B233" s="6" t="str">
        <f t="shared" si="6"/>
        <v>Policy232</v>
      </c>
      <c r="C233" s="7" t="s">
        <v>12</v>
      </c>
      <c r="D233" s="6">
        <v>2021</v>
      </c>
      <c r="E233" s="6">
        <v>2026</v>
      </c>
      <c r="F233" s="8">
        <v>61374</v>
      </c>
    </row>
    <row r="234" spans="1:6" x14ac:dyDescent="0.4">
      <c r="A234" s="6">
        <f t="shared" si="7"/>
        <v>233</v>
      </c>
      <c r="B234" s="6" t="str">
        <f t="shared" si="6"/>
        <v>Policy233</v>
      </c>
      <c r="C234" s="7" t="s">
        <v>11</v>
      </c>
      <c r="D234" s="6">
        <v>2021</v>
      </c>
      <c r="E234" s="6">
        <v>2025</v>
      </c>
      <c r="F234" s="8">
        <v>2759</v>
      </c>
    </row>
    <row r="235" spans="1:6" x14ac:dyDescent="0.4">
      <c r="A235" s="6">
        <f t="shared" si="7"/>
        <v>234</v>
      </c>
      <c r="B235" s="6" t="str">
        <f t="shared" si="6"/>
        <v>Policy234</v>
      </c>
      <c r="C235" s="7" t="s">
        <v>12</v>
      </c>
      <c r="D235" s="6">
        <v>2024</v>
      </c>
      <c r="E235" s="6">
        <v>2025</v>
      </c>
      <c r="F235" s="8">
        <v>4307660</v>
      </c>
    </row>
    <row r="236" spans="1:6" x14ac:dyDescent="0.4">
      <c r="A236" s="6">
        <f t="shared" si="7"/>
        <v>235</v>
      </c>
      <c r="B236" s="6" t="str">
        <f t="shared" si="6"/>
        <v>Policy235</v>
      </c>
      <c r="C236" s="7" t="s">
        <v>11</v>
      </c>
      <c r="D236" s="6">
        <v>2023</v>
      </c>
      <c r="E236" s="6">
        <v>2025</v>
      </c>
      <c r="F236" s="8">
        <v>29151</v>
      </c>
    </row>
    <row r="237" spans="1:6" x14ac:dyDescent="0.4">
      <c r="A237" s="6">
        <f t="shared" si="7"/>
        <v>236</v>
      </c>
      <c r="B237" s="6" t="str">
        <f t="shared" si="6"/>
        <v>Policy236</v>
      </c>
      <c r="C237" s="7" t="s">
        <v>11</v>
      </c>
      <c r="D237" s="6">
        <v>2025</v>
      </c>
      <c r="E237" s="6">
        <v>2026</v>
      </c>
      <c r="F237" s="8">
        <v>1070</v>
      </c>
    </row>
    <row r="238" spans="1:6" x14ac:dyDescent="0.4">
      <c r="A238" s="6">
        <f t="shared" si="7"/>
        <v>237</v>
      </c>
      <c r="B238" s="6" t="str">
        <f t="shared" si="6"/>
        <v>Policy237</v>
      </c>
      <c r="C238" s="7" t="s">
        <v>11</v>
      </c>
      <c r="D238" s="6">
        <v>2024</v>
      </c>
      <c r="E238" s="6">
        <v>2026</v>
      </c>
      <c r="F238" s="8">
        <v>47601</v>
      </c>
    </row>
    <row r="239" spans="1:6" x14ac:dyDescent="0.4">
      <c r="A239" s="6">
        <f t="shared" si="7"/>
        <v>238</v>
      </c>
      <c r="B239" s="6" t="str">
        <f t="shared" si="6"/>
        <v>Policy238</v>
      </c>
      <c r="C239" s="7" t="s">
        <v>11</v>
      </c>
      <c r="D239" s="6">
        <v>2025</v>
      </c>
      <c r="E239" s="6">
        <v>2026</v>
      </c>
      <c r="F239" s="8">
        <v>29056</v>
      </c>
    </row>
    <row r="240" spans="1:6" x14ac:dyDescent="0.4">
      <c r="A240" s="6">
        <f t="shared" si="7"/>
        <v>239</v>
      </c>
      <c r="B240" s="6" t="str">
        <f t="shared" si="6"/>
        <v>Policy239</v>
      </c>
      <c r="C240" s="7" t="s">
        <v>11</v>
      </c>
      <c r="D240" s="6">
        <v>2025</v>
      </c>
      <c r="E240" s="6">
        <v>2026</v>
      </c>
      <c r="F240" s="8">
        <v>33310</v>
      </c>
    </row>
    <row r="241" spans="1:6" x14ac:dyDescent="0.4">
      <c r="A241" s="6">
        <f t="shared" si="7"/>
        <v>240</v>
      </c>
      <c r="B241" s="6" t="str">
        <f t="shared" si="6"/>
        <v>Policy240</v>
      </c>
      <c r="C241" s="7" t="s">
        <v>12</v>
      </c>
      <c r="D241" s="6">
        <v>2023</v>
      </c>
      <c r="E241" s="6">
        <v>2026</v>
      </c>
      <c r="F241" s="8">
        <v>2100522</v>
      </c>
    </row>
    <row r="242" spans="1:6" x14ac:dyDescent="0.4">
      <c r="A242" s="6">
        <f t="shared" si="7"/>
        <v>241</v>
      </c>
      <c r="B242" s="6" t="str">
        <f t="shared" si="6"/>
        <v>Policy241</v>
      </c>
      <c r="C242" s="7" t="s">
        <v>12</v>
      </c>
      <c r="D242" s="6">
        <v>2024</v>
      </c>
      <c r="E242" s="6">
        <v>2025</v>
      </c>
      <c r="F242" s="8">
        <v>4596874</v>
      </c>
    </row>
    <row r="243" spans="1:6" x14ac:dyDescent="0.4">
      <c r="A243" s="6">
        <f t="shared" si="7"/>
        <v>242</v>
      </c>
      <c r="B243" s="6" t="str">
        <f t="shared" si="6"/>
        <v>Policy242</v>
      </c>
      <c r="C243" s="7" t="s">
        <v>11</v>
      </c>
      <c r="D243" s="6">
        <v>2023</v>
      </c>
      <c r="E243" s="6">
        <v>2024</v>
      </c>
      <c r="F243" s="8">
        <v>41316</v>
      </c>
    </row>
    <row r="244" spans="1:6" x14ac:dyDescent="0.4">
      <c r="A244" s="6">
        <f t="shared" si="7"/>
        <v>243</v>
      </c>
      <c r="B244" s="6" t="str">
        <f t="shared" si="6"/>
        <v>Policy243</v>
      </c>
      <c r="C244" s="7" t="s">
        <v>12</v>
      </c>
      <c r="D244" s="6">
        <v>2023</v>
      </c>
      <c r="E244" s="6">
        <v>2024</v>
      </c>
      <c r="F244" s="8">
        <v>660043</v>
      </c>
    </row>
    <row r="245" spans="1:6" x14ac:dyDescent="0.4">
      <c r="A245" s="6">
        <f t="shared" si="7"/>
        <v>244</v>
      </c>
      <c r="B245" s="6" t="str">
        <f t="shared" si="6"/>
        <v>Policy244</v>
      </c>
      <c r="C245" s="7" t="s">
        <v>12</v>
      </c>
      <c r="D245" s="6">
        <v>2021</v>
      </c>
      <c r="E245" s="6">
        <v>2026</v>
      </c>
      <c r="F245" s="8">
        <v>2003043</v>
      </c>
    </row>
    <row r="246" spans="1:6" x14ac:dyDescent="0.4">
      <c r="A246" s="6">
        <f t="shared" si="7"/>
        <v>245</v>
      </c>
      <c r="B246" s="6" t="str">
        <f t="shared" si="6"/>
        <v>Policy245</v>
      </c>
      <c r="C246" s="7" t="s">
        <v>12</v>
      </c>
      <c r="D246" s="6">
        <v>2025</v>
      </c>
      <c r="E246" s="6">
        <v>2026</v>
      </c>
      <c r="F246" s="8">
        <v>3891640</v>
      </c>
    </row>
    <row r="247" spans="1:6" x14ac:dyDescent="0.4">
      <c r="A247" s="6">
        <f t="shared" si="7"/>
        <v>246</v>
      </c>
      <c r="B247" s="6" t="str">
        <f t="shared" si="6"/>
        <v>Policy246</v>
      </c>
      <c r="C247" s="7" t="s">
        <v>12</v>
      </c>
      <c r="D247" s="6">
        <v>2021</v>
      </c>
      <c r="E247" s="6">
        <v>2025</v>
      </c>
      <c r="F247" s="8">
        <v>1851677</v>
      </c>
    </row>
    <row r="248" spans="1:6" x14ac:dyDescent="0.4">
      <c r="A248" s="6">
        <f t="shared" si="7"/>
        <v>247</v>
      </c>
      <c r="B248" s="6" t="str">
        <f t="shared" si="6"/>
        <v>Policy247</v>
      </c>
      <c r="C248" s="7" t="s">
        <v>11</v>
      </c>
      <c r="D248" s="6">
        <v>2021</v>
      </c>
      <c r="E248" s="6">
        <v>2024</v>
      </c>
      <c r="F248" s="8">
        <v>6606</v>
      </c>
    </row>
    <row r="249" spans="1:6" x14ac:dyDescent="0.4">
      <c r="A249" s="6">
        <f t="shared" si="7"/>
        <v>248</v>
      </c>
      <c r="B249" s="6" t="str">
        <f t="shared" si="6"/>
        <v>Policy248</v>
      </c>
      <c r="C249" s="7" t="s">
        <v>11</v>
      </c>
      <c r="D249" s="6">
        <v>2023</v>
      </c>
      <c r="E249" s="6">
        <v>2025</v>
      </c>
      <c r="F249" s="8">
        <v>39011</v>
      </c>
    </row>
    <row r="250" spans="1:6" x14ac:dyDescent="0.4">
      <c r="A250" s="6">
        <f t="shared" si="7"/>
        <v>249</v>
      </c>
      <c r="B250" s="6" t="str">
        <f t="shared" si="6"/>
        <v>Policy249</v>
      </c>
      <c r="C250" s="7" t="s">
        <v>12</v>
      </c>
      <c r="D250" s="6">
        <v>2023</v>
      </c>
      <c r="E250" s="6">
        <v>2026</v>
      </c>
      <c r="F250" s="8">
        <v>3029968</v>
      </c>
    </row>
    <row r="251" spans="1:6" x14ac:dyDescent="0.4">
      <c r="A251" s="6">
        <f t="shared" si="7"/>
        <v>250</v>
      </c>
      <c r="B251" s="6" t="str">
        <f t="shared" si="6"/>
        <v>Policy250</v>
      </c>
      <c r="C251" s="7" t="s">
        <v>12</v>
      </c>
      <c r="D251" s="6">
        <v>2021</v>
      </c>
      <c r="E251" s="6">
        <v>2026</v>
      </c>
      <c r="F251" s="8">
        <v>1561990</v>
      </c>
    </row>
    <row r="252" spans="1:6" x14ac:dyDescent="0.4">
      <c r="A252" s="6">
        <f t="shared" si="7"/>
        <v>251</v>
      </c>
      <c r="B252" s="6" t="str">
        <f t="shared" si="6"/>
        <v>Policy251</v>
      </c>
      <c r="C252" s="7" t="s">
        <v>12</v>
      </c>
      <c r="D252" s="6">
        <v>2023</v>
      </c>
      <c r="E252" s="6">
        <v>2026</v>
      </c>
      <c r="F252" s="8">
        <v>1560866</v>
      </c>
    </row>
    <row r="253" spans="1:6" x14ac:dyDescent="0.4">
      <c r="A253" s="6">
        <f t="shared" si="7"/>
        <v>252</v>
      </c>
      <c r="B253" s="6" t="str">
        <f t="shared" si="6"/>
        <v>Policy252</v>
      </c>
      <c r="C253" s="7" t="s">
        <v>12</v>
      </c>
      <c r="D253" s="6">
        <v>2025</v>
      </c>
      <c r="E253" s="6">
        <v>2026</v>
      </c>
      <c r="F253" s="8">
        <v>2116977</v>
      </c>
    </row>
    <row r="254" spans="1:6" x14ac:dyDescent="0.4">
      <c r="A254" s="6">
        <f t="shared" si="7"/>
        <v>253</v>
      </c>
      <c r="B254" s="6" t="str">
        <f t="shared" si="6"/>
        <v>Policy253</v>
      </c>
      <c r="C254" s="7" t="s">
        <v>11</v>
      </c>
      <c r="D254" s="6">
        <v>2022</v>
      </c>
      <c r="E254" s="6">
        <v>2024</v>
      </c>
      <c r="F254" s="8">
        <v>30337</v>
      </c>
    </row>
    <row r="255" spans="1:6" x14ac:dyDescent="0.4">
      <c r="A255" s="6">
        <f t="shared" si="7"/>
        <v>254</v>
      </c>
      <c r="B255" s="6" t="str">
        <f t="shared" si="6"/>
        <v>Policy254</v>
      </c>
      <c r="C255" s="7" t="s">
        <v>11</v>
      </c>
      <c r="D255" s="6">
        <v>2023</v>
      </c>
      <c r="E255" s="6">
        <v>2025</v>
      </c>
      <c r="F255" s="8">
        <v>26366</v>
      </c>
    </row>
    <row r="256" spans="1:6" x14ac:dyDescent="0.4">
      <c r="A256" s="6">
        <f t="shared" si="7"/>
        <v>255</v>
      </c>
      <c r="B256" s="6" t="str">
        <f t="shared" si="6"/>
        <v>Policy255</v>
      </c>
      <c r="C256" s="7" t="s">
        <v>12</v>
      </c>
      <c r="D256" s="6">
        <v>2023</v>
      </c>
      <c r="E256" s="6">
        <v>2024</v>
      </c>
      <c r="F256" s="8">
        <v>3910571</v>
      </c>
    </row>
    <row r="257" spans="1:6" x14ac:dyDescent="0.4">
      <c r="A257" s="6">
        <f t="shared" si="7"/>
        <v>256</v>
      </c>
      <c r="B257" s="6" t="str">
        <f t="shared" si="6"/>
        <v>Policy256</v>
      </c>
      <c r="C257" s="7" t="s">
        <v>12</v>
      </c>
      <c r="D257" s="6">
        <v>2024</v>
      </c>
      <c r="E257" s="6">
        <v>2026</v>
      </c>
      <c r="F257" s="8">
        <v>2633171</v>
      </c>
    </row>
    <row r="258" spans="1:6" x14ac:dyDescent="0.4">
      <c r="A258" s="6">
        <f t="shared" si="7"/>
        <v>257</v>
      </c>
      <c r="B258" s="6" t="str">
        <f t="shared" si="6"/>
        <v>Policy257</v>
      </c>
      <c r="C258" s="7" t="s">
        <v>12</v>
      </c>
      <c r="D258" s="6">
        <v>2022</v>
      </c>
      <c r="E258" s="6">
        <v>2026</v>
      </c>
      <c r="F258" s="8">
        <v>4126258</v>
      </c>
    </row>
    <row r="259" spans="1:6" x14ac:dyDescent="0.4">
      <c r="A259" s="6">
        <f t="shared" si="7"/>
        <v>258</v>
      </c>
      <c r="B259" s="6" t="str">
        <f t="shared" ref="B259:B322" si="8">"Policy"&amp;A259</f>
        <v>Policy258</v>
      </c>
      <c r="C259" s="7" t="s">
        <v>11</v>
      </c>
      <c r="D259" s="6">
        <v>2024</v>
      </c>
      <c r="E259" s="6">
        <v>2026</v>
      </c>
      <c r="F259" s="8">
        <v>1247</v>
      </c>
    </row>
    <row r="260" spans="1:6" x14ac:dyDescent="0.4">
      <c r="A260" s="6">
        <f t="shared" ref="A260:A323" si="9">A259+1</f>
        <v>259</v>
      </c>
      <c r="B260" s="6" t="str">
        <f t="shared" si="8"/>
        <v>Policy259</v>
      </c>
      <c r="C260" s="7" t="s">
        <v>11</v>
      </c>
      <c r="D260" s="6">
        <v>2023</v>
      </c>
      <c r="E260" s="6">
        <v>2024</v>
      </c>
      <c r="F260" s="8">
        <v>5714</v>
      </c>
    </row>
    <row r="261" spans="1:6" x14ac:dyDescent="0.4">
      <c r="A261" s="6">
        <f t="shared" si="9"/>
        <v>260</v>
      </c>
      <c r="B261" s="6" t="str">
        <f t="shared" si="8"/>
        <v>Policy260</v>
      </c>
      <c r="C261" s="7" t="s">
        <v>12</v>
      </c>
      <c r="D261" s="6">
        <v>2024</v>
      </c>
      <c r="E261" s="6">
        <v>2026</v>
      </c>
      <c r="F261" s="8">
        <v>2708999</v>
      </c>
    </row>
    <row r="262" spans="1:6" x14ac:dyDescent="0.4">
      <c r="A262" s="6">
        <f t="shared" si="9"/>
        <v>261</v>
      </c>
      <c r="B262" s="6" t="str">
        <f t="shared" si="8"/>
        <v>Policy261</v>
      </c>
      <c r="C262" s="7" t="s">
        <v>11</v>
      </c>
      <c r="D262" s="6">
        <v>2022</v>
      </c>
      <c r="E262" s="6">
        <v>2025</v>
      </c>
      <c r="F262" s="8">
        <v>26686</v>
      </c>
    </row>
    <row r="263" spans="1:6" x14ac:dyDescent="0.4">
      <c r="A263" s="6">
        <f t="shared" si="9"/>
        <v>262</v>
      </c>
      <c r="B263" s="6" t="str">
        <f t="shared" si="8"/>
        <v>Policy262</v>
      </c>
      <c r="C263" s="7" t="s">
        <v>12</v>
      </c>
      <c r="D263" s="6">
        <v>2024</v>
      </c>
      <c r="E263" s="6">
        <v>2026</v>
      </c>
      <c r="F263" s="8">
        <v>1473942</v>
      </c>
    </row>
    <row r="264" spans="1:6" x14ac:dyDescent="0.4">
      <c r="A264" s="6">
        <f t="shared" si="9"/>
        <v>263</v>
      </c>
      <c r="B264" s="6" t="str">
        <f t="shared" si="8"/>
        <v>Policy263</v>
      </c>
      <c r="C264" s="7" t="s">
        <v>12</v>
      </c>
      <c r="D264" s="6">
        <v>2021</v>
      </c>
      <c r="E264" s="6">
        <v>2024</v>
      </c>
      <c r="F264" s="8">
        <v>3784203</v>
      </c>
    </row>
    <row r="265" spans="1:6" x14ac:dyDescent="0.4">
      <c r="A265" s="6">
        <f t="shared" si="9"/>
        <v>264</v>
      </c>
      <c r="B265" s="6" t="str">
        <f t="shared" si="8"/>
        <v>Policy264</v>
      </c>
      <c r="C265" s="7" t="s">
        <v>12</v>
      </c>
      <c r="D265" s="6">
        <v>2024</v>
      </c>
      <c r="E265" s="6">
        <v>2025</v>
      </c>
      <c r="F265" s="8">
        <v>3184443</v>
      </c>
    </row>
    <row r="266" spans="1:6" x14ac:dyDescent="0.4">
      <c r="A266" s="6">
        <f t="shared" si="9"/>
        <v>265</v>
      </c>
      <c r="B266" s="6" t="str">
        <f t="shared" si="8"/>
        <v>Policy265</v>
      </c>
      <c r="C266" s="7" t="s">
        <v>11</v>
      </c>
      <c r="D266" s="6">
        <v>2025</v>
      </c>
      <c r="E266" s="6">
        <v>2026</v>
      </c>
      <c r="F266" s="8">
        <v>46576</v>
      </c>
    </row>
    <row r="267" spans="1:6" x14ac:dyDescent="0.4">
      <c r="A267" s="6">
        <f t="shared" si="9"/>
        <v>266</v>
      </c>
      <c r="B267" s="6" t="str">
        <f t="shared" si="8"/>
        <v>Policy266</v>
      </c>
      <c r="C267" s="7" t="s">
        <v>12</v>
      </c>
      <c r="D267" s="6">
        <v>2024</v>
      </c>
      <c r="E267" s="6">
        <v>2025</v>
      </c>
      <c r="F267" s="8">
        <v>361288</v>
      </c>
    </row>
    <row r="268" spans="1:6" x14ac:dyDescent="0.4">
      <c r="A268" s="6">
        <f t="shared" si="9"/>
        <v>267</v>
      </c>
      <c r="B268" s="6" t="str">
        <f t="shared" si="8"/>
        <v>Policy267</v>
      </c>
      <c r="C268" s="7" t="s">
        <v>12</v>
      </c>
      <c r="D268" s="6">
        <v>2024</v>
      </c>
      <c r="E268" s="6">
        <v>2025</v>
      </c>
      <c r="F268" s="8">
        <v>3246041</v>
      </c>
    </row>
    <row r="269" spans="1:6" x14ac:dyDescent="0.4">
      <c r="A269" s="6">
        <f t="shared" si="9"/>
        <v>268</v>
      </c>
      <c r="B269" s="6" t="str">
        <f t="shared" si="8"/>
        <v>Policy268</v>
      </c>
      <c r="C269" s="7" t="s">
        <v>12</v>
      </c>
      <c r="D269" s="6">
        <v>2024</v>
      </c>
      <c r="E269" s="6">
        <v>2026</v>
      </c>
      <c r="F269" s="8">
        <v>1300551</v>
      </c>
    </row>
    <row r="270" spans="1:6" x14ac:dyDescent="0.4">
      <c r="A270" s="6">
        <f t="shared" si="9"/>
        <v>269</v>
      </c>
      <c r="B270" s="6" t="str">
        <f t="shared" si="8"/>
        <v>Policy269</v>
      </c>
      <c r="C270" s="7" t="s">
        <v>11</v>
      </c>
      <c r="D270" s="6">
        <v>2025</v>
      </c>
      <c r="E270" s="6">
        <v>2026</v>
      </c>
      <c r="F270" s="8">
        <v>23576</v>
      </c>
    </row>
    <row r="271" spans="1:6" x14ac:dyDescent="0.4">
      <c r="A271" s="6">
        <f t="shared" si="9"/>
        <v>270</v>
      </c>
      <c r="B271" s="6" t="str">
        <f t="shared" si="8"/>
        <v>Policy270</v>
      </c>
      <c r="C271" s="7" t="s">
        <v>12</v>
      </c>
      <c r="D271" s="6">
        <v>2022</v>
      </c>
      <c r="E271" s="6">
        <v>2024</v>
      </c>
      <c r="F271" s="8">
        <v>509072</v>
      </c>
    </row>
    <row r="272" spans="1:6" x14ac:dyDescent="0.4">
      <c r="A272" s="6">
        <f t="shared" si="9"/>
        <v>271</v>
      </c>
      <c r="B272" s="6" t="str">
        <f t="shared" si="8"/>
        <v>Policy271</v>
      </c>
      <c r="C272" s="7" t="s">
        <v>12</v>
      </c>
      <c r="D272" s="6">
        <v>2023</v>
      </c>
      <c r="E272" s="6">
        <v>2024</v>
      </c>
      <c r="F272" s="8">
        <v>4549365</v>
      </c>
    </row>
    <row r="273" spans="1:6" x14ac:dyDescent="0.4">
      <c r="A273" s="6">
        <f t="shared" si="9"/>
        <v>272</v>
      </c>
      <c r="B273" s="6" t="str">
        <f t="shared" si="8"/>
        <v>Policy272</v>
      </c>
      <c r="C273" s="7" t="s">
        <v>11</v>
      </c>
      <c r="D273" s="6">
        <v>2025</v>
      </c>
      <c r="E273" s="6">
        <v>2026</v>
      </c>
      <c r="F273" s="8">
        <v>8813</v>
      </c>
    </row>
    <row r="274" spans="1:6" x14ac:dyDescent="0.4">
      <c r="A274" s="6">
        <f t="shared" si="9"/>
        <v>273</v>
      </c>
      <c r="B274" s="6" t="str">
        <f t="shared" si="8"/>
        <v>Policy273</v>
      </c>
      <c r="C274" s="7" t="s">
        <v>12</v>
      </c>
      <c r="D274" s="6">
        <v>2021</v>
      </c>
      <c r="E274" s="6">
        <v>2024</v>
      </c>
      <c r="F274" s="8">
        <v>138893</v>
      </c>
    </row>
    <row r="275" spans="1:6" x14ac:dyDescent="0.4">
      <c r="A275" s="6">
        <f t="shared" si="9"/>
        <v>274</v>
      </c>
      <c r="B275" s="6" t="str">
        <f t="shared" si="8"/>
        <v>Policy274</v>
      </c>
      <c r="C275" s="7" t="s">
        <v>11</v>
      </c>
      <c r="D275" s="6">
        <v>2023</v>
      </c>
      <c r="E275" s="6">
        <v>2026</v>
      </c>
      <c r="F275" s="8">
        <v>44478</v>
      </c>
    </row>
    <row r="276" spans="1:6" x14ac:dyDescent="0.4">
      <c r="A276" s="6">
        <f t="shared" si="9"/>
        <v>275</v>
      </c>
      <c r="B276" s="6" t="str">
        <f t="shared" si="8"/>
        <v>Policy275</v>
      </c>
      <c r="C276" s="7" t="s">
        <v>12</v>
      </c>
      <c r="D276" s="6">
        <v>2021</v>
      </c>
      <c r="E276" s="6">
        <v>2026</v>
      </c>
      <c r="F276" s="8">
        <v>4338925</v>
      </c>
    </row>
    <row r="277" spans="1:6" x14ac:dyDescent="0.4">
      <c r="A277" s="6">
        <f t="shared" si="9"/>
        <v>276</v>
      </c>
      <c r="B277" s="6" t="str">
        <f t="shared" si="8"/>
        <v>Policy276</v>
      </c>
      <c r="C277" s="7" t="s">
        <v>11</v>
      </c>
      <c r="D277" s="6">
        <v>2022</v>
      </c>
      <c r="E277" s="6">
        <v>2026</v>
      </c>
      <c r="F277" s="8">
        <v>36308</v>
      </c>
    </row>
    <row r="278" spans="1:6" x14ac:dyDescent="0.4">
      <c r="A278" s="6">
        <f t="shared" si="9"/>
        <v>277</v>
      </c>
      <c r="B278" s="6" t="str">
        <f t="shared" si="8"/>
        <v>Policy277</v>
      </c>
      <c r="C278" s="7" t="s">
        <v>11</v>
      </c>
      <c r="D278" s="6">
        <v>2021</v>
      </c>
      <c r="E278" s="6">
        <v>2023</v>
      </c>
      <c r="F278" s="8">
        <v>5162</v>
      </c>
    </row>
    <row r="279" spans="1:6" x14ac:dyDescent="0.4">
      <c r="A279" s="6">
        <f t="shared" si="9"/>
        <v>278</v>
      </c>
      <c r="B279" s="6" t="str">
        <f t="shared" si="8"/>
        <v>Policy278</v>
      </c>
      <c r="C279" s="7" t="s">
        <v>11</v>
      </c>
      <c r="D279" s="6">
        <v>2021</v>
      </c>
      <c r="E279" s="6">
        <v>2024</v>
      </c>
      <c r="F279" s="8">
        <v>25326</v>
      </c>
    </row>
    <row r="280" spans="1:6" x14ac:dyDescent="0.4">
      <c r="A280" s="6">
        <f t="shared" si="9"/>
        <v>279</v>
      </c>
      <c r="B280" s="6" t="str">
        <f t="shared" si="8"/>
        <v>Policy279</v>
      </c>
      <c r="C280" s="7" t="s">
        <v>12</v>
      </c>
      <c r="D280" s="6">
        <v>2023</v>
      </c>
      <c r="E280" s="6">
        <v>2025</v>
      </c>
      <c r="F280" s="8">
        <v>636188</v>
      </c>
    </row>
    <row r="281" spans="1:6" x14ac:dyDescent="0.4">
      <c r="A281" s="6">
        <f t="shared" si="9"/>
        <v>280</v>
      </c>
      <c r="B281" s="6" t="str">
        <f t="shared" si="8"/>
        <v>Policy280</v>
      </c>
      <c r="C281" s="7" t="s">
        <v>11</v>
      </c>
      <c r="D281" s="6">
        <v>2025</v>
      </c>
      <c r="E281" s="6">
        <v>2026</v>
      </c>
      <c r="F281" s="8">
        <v>10060</v>
      </c>
    </row>
    <row r="282" spans="1:6" x14ac:dyDescent="0.4">
      <c r="A282" s="6">
        <f t="shared" si="9"/>
        <v>281</v>
      </c>
      <c r="B282" s="6" t="str">
        <f t="shared" si="8"/>
        <v>Policy281</v>
      </c>
      <c r="C282" s="7" t="s">
        <v>11</v>
      </c>
      <c r="D282" s="6">
        <v>2021</v>
      </c>
      <c r="E282" s="6">
        <v>2024</v>
      </c>
      <c r="F282" s="8">
        <v>9065</v>
      </c>
    </row>
    <row r="283" spans="1:6" x14ac:dyDescent="0.4">
      <c r="A283" s="6">
        <f t="shared" si="9"/>
        <v>282</v>
      </c>
      <c r="B283" s="6" t="str">
        <f t="shared" si="8"/>
        <v>Policy282</v>
      </c>
      <c r="C283" s="7" t="s">
        <v>11</v>
      </c>
      <c r="D283" s="6">
        <v>2021</v>
      </c>
      <c r="E283" s="6">
        <v>2024</v>
      </c>
      <c r="F283" s="8">
        <v>20244</v>
      </c>
    </row>
    <row r="284" spans="1:6" x14ac:dyDescent="0.4">
      <c r="A284" s="6">
        <f t="shared" si="9"/>
        <v>283</v>
      </c>
      <c r="B284" s="6" t="str">
        <f t="shared" si="8"/>
        <v>Policy283</v>
      </c>
      <c r="C284" s="7" t="s">
        <v>11</v>
      </c>
      <c r="D284" s="6">
        <v>2022</v>
      </c>
      <c r="E284" s="6">
        <v>2024</v>
      </c>
      <c r="F284" s="8">
        <v>45759</v>
      </c>
    </row>
    <row r="285" spans="1:6" x14ac:dyDescent="0.4">
      <c r="A285" s="6">
        <f t="shared" si="9"/>
        <v>284</v>
      </c>
      <c r="B285" s="6" t="str">
        <f t="shared" si="8"/>
        <v>Policy284</v>
      </c>
      <c r="C285" s="7" t="s">
        <v>11</v>
      </c>
      <c r="D285" s="6">
        <v>2025</v>
      </c>
      <c r="E285" s="6">
        <v>2026</v>
      </c>
      <c r="F285" s="8">
        <v>39117</v>
      </c>
    </row>
    <row r="286" spans="1:6" x14ac:dyDescent="0.4">
      <c r="A286" s="6">
        <f t="shared" si="9"/>
        <v>285</v>
      </c>
      <c r="B286" s="6" t="str">
        <f t="shared" si="8"/>
        <v>Policy285</v>
      </c>
      <c r="C286" s="7" t="s">
        <v>12</v>
      </c>
      <c r="D286" s="6">
        <v>2021</v>
      </c>
      <c r="E286" s="6">
        <v>2022</v>
      </c>
      <c r="F286" s="8">
        <v>695069</v>
      </c>
    </row>
    <row r="287" spans="1:6" x14ac:dyDescent="0.4">
      <c r="A287" s="6">
        <f t="shared" si="9"/>
        <v>286</v>
      </c>
      <c r="B287" s="6" t="str">
        <f t="shared" si="8"/>
        <v>Policy286</v>
      </c>
      <c r="C287" s="7" t="s">
        <v>11</v>
      </c>
      <c r="D287" s="6">
        <v>2025</v>
      </c>
      <c r="E287" s="6">
        <v>2026</v>
      </c>
      <c r="F287" s="8">
        <v>38677</v>
      </c>
    </row>
    <row r="288" spans="1:6" x14ac:dyDescent="0.4">
      <c r="A288" s="6">
        <f t="shared" si="9"/>
        <v>287</v>
      </c>
      <c r="B288" s="6" t="str">
        <f t="shared" si="8"/>
        <v>Policy287</v>
      </c>
      <c r="C288" s="7" t="s">
        <v>11</v>
      </c>
      <c r="D288" s="6">
        <v>2025</v>
      </c>
      <c r="E288" s="6">
        <v>2026</v>
      </c>
      <c r="F288" s="8">
        <v>39451</v>
      </c>
    </row>
    <row r="289" spans="1:6" x14ac:dyDescent="0.4">
      <c r="A289" s="6">
        <f t="shared" si="9"/>
        <v>288</v>
      </c>
      <c r="B289" s="6" t="str">
        <f t="shared" si="8"/>
        <v>Policy288</v>
      </c>
      <c r="C289" s="7" t="s">
        <v>11</v>
      </c>
      <c r="D289" s="6">
        <v>2023</v>
      </c>
      <c r="E289" s="6">
        <v>2025</v>
      </c>
      <c r="F289" s="8">
        <v>25280</v>
      </c>
    </row>
    <row r="290" spans="1:6" x14ac:dyDescent="0.4">
      <c r="A290" s="6">
        <f t="shared" si="9"/>
        <v>289</v>
      </c>
      <c r="B290" s="6" t="str">
        <f t="shared" si="8"/>
        <v>Policy289</v>
      </c>
      <c r="C290" s="7" t="s">
        <v>11</v>
      </c>
      <c r="D290" s="6">
        <v>2025</v>
      </c>
      <c r="E290" s="6">
        <v>2026</v>
      </c>
      <c r="F290" s="8">
        <v>4299</v>
      </c>
    </row>
    <row r="291" spans="1:6" x14ac:dyDescent="0.4">
      <c r="A291" s="6">
        <f t="shared" si="9"/>
        <v>290</v>
      </c>
      <c r="B291" s="6" t="str">
        <f t="shared" si="8"/>
        <v>Policy290</v>
      </c>
      <c r="C291" s="7" t="s">
        <v>11</v>
      </c>
      <c r="D291" s="6">
        <v>2022</v>
      </c>
      <c r="E291" s="6">
        <v>2025</v>
      </c>
      <c r="F291" s="8">
        <v>44311</v>
      </c>
    </row>
    <row r="292" spans="1:6" x14ac:dyDescent="0.4">
      <c r="A292" s="6">
        <f t="shared" si="9"/>
        <v>291</v>
      </c>
      <c r="B292" s="6" t="str">
        <f t="shared" si="8"/>
        <v>Policy291</v>
      </c>
      <c r="C292" s="7" t="s">
        <v>12</v>
      </c>
      <c r="D292" s="6">
        <v>2023</v>
      </c>
      <c r="E292" s="6">
        <v>2026</v>
      </c>
      <c r="F292" s="8">
        <v>3381302</v>
      </c>
    </row>
    <row r="293" spans="1:6" x14ac:dyDescent="0.4">
      <c r="A293" s="6">
        <f t="shared" si="9"/>
        <v>292</v>
      </c>
      <c r="B293" s="6" t="str">
        <f t="shared" si="8"/>
        <v>Policy292</v>
      </c>
      <c r="C293" s="7" t="s">
        <v>11</v>
      </c>
      <c r="D293" s="6">
        <v>2021</v>
      </c>
      <c r="E293" s="6">
        <v>2025</v>
      </c>
      <c r="F293" s="8">
        <v>35976</v>
      </c>
    </row>
    <row r="294" spans="1:6" x14ac:dyDescent="0.4">
      <c r="A294" s="6">
        <f t="shared" si="9"/>
        <v>293</v>
      </c>
      <c r="B294" s="6" t="str">
        <f t="shared" si="8"/>
        <v>Policy293</v>
      </c>
      <c r="C294" s="7" t="s">
        <v>11</v>
      </c>
      <c r="D294" s="6">
        <v>2025</v>
      </c>
      <c r="E294" s="6">
        <v>2026</v>
      </c>
      <c r="F294" s="8">
        <v>22578</v>
      </c>
    </row>
    <row r="295" spans="1:6" x14ac:dyDescent="0.4">
      <c r="A295" s="6">
        <f t="shared" si="9"/>
        <v>294</v>
      </c>
      <c r="B295" s="6" t="str">
        <f t="shared" si="8"/>
        <v>Policy294</v>
      </c>
      <c r="C295" s="7" t="s">
        <v>11</v>
      </c>
      <c r="D295" s="6">
        <v>2022</v>
      </c>
      <c r="E295" s="6">
        <v>2023</v>
      </c>
      <c r="F295" s="8">
        <v>7824</v>
      </c>
    </row>
    <row r="296" spans="1:6" x14ac:dyDescent="0.4">
      <c r="A296" s="6">
        <f t="shared" si="9"/>
        <v>295</v>
      </c>
      <c r="B296" s="6" t="str">
        <f t="shared" si="8"/>
        <v>Policy295</v>
      </c>
      <c r="C296" s="7" t="s">
        <v>12</v>
      </c>
      <c r="D296" s="6">
        <v>2024</v>
      </c>
      <c r="E296" s="6">
        <v>2025</v>
      </c>
      <c r="F296" s="8">
        <v>2018253</v>
      </c>
    </row>
    <row r="297" spans="1:6" x14ac:dyDescent="0.4">
      <c r="A297" s="6">
        <f t="shared" si="9"/>
        <v>296</v>
      </c>
      <c r="B297" s="6" t="str">
        <f t="shared" si="8"/>
        <v>Policy296</v>
      </c>
      <c r="C297" s="7" t="s">
        <v>11</v>
      </c>
      <c r="D297" s="6">
        <v>2025</v>
      </c>
      <c r="E297" s="6">
        <v>2026</v>
      </c>
      <c r="F297" s="8">
        <v>32622</v>
      </c>
    </row>
    <row r="298" spans="1:6" x14ac:dyDescent="0.4">
      <c r="A298" s="6">
        <f t="shared" si="9"/>
        <v>297</v>
      </c>
      <c r="B298" s="6" t="str">
        <f t="shared" si="8"/>
        <v>Policy297</v>
      </c>
      <c r="C298" s="7" t="s">
        <v>11</v>
      </c>
      <c r="D298" s="6">
        <v>2022</v>
      </c>
      <c r="E298" s="6">
        <v>2024</v>
      </c>
      <c r="F298" s="8">
        <v>44241</v>
      </c>
    </row>
    <row r="299" spans="1:6" x14ac:dyDescent="0.4">
      <c r="A299" s="6">
        <f t="shared" si="9"/>
        <v>298</v>
      </c>
      <c r="B299" s="6" t="str">
        <f t="shared" si="8"/>
        <v>Policy298</v>
      </c>
      <c r="C299" s="7" t="s">
        <v>12</v>
      </c>
      <c r="D299" s="6">
        <v>2025</v>
      </c>
      <c r="E299" s="6">
        <v>2026</v>
      </c>
      <c r="F299" s="8">
        <v>1473252</v>
      </c>
    </row>
    <row r="300" spans="1:6" x14ac:dyDescent="0.4">
      <c r="A300" s="6">
        <f t="shared" si="9"/>
        <v>299</v>
      </c>
      <c r="B300" s="6" t="str">
        <f t="shared" si="8"/>
        <v>Policy299</v>
      </c>
      <c r="C300" s="7" t="s">
        <v>11</v>
      </c>
      <c r="D300" s="6">
        <v>2021</v>
      </c>
      <c r="E300" s="6">
        <v>2024</v>
      </c>
      <c r="F300" s="8">
        <v>46261</v>
      </c>
    </row>
    <row r="301" spans="1:6" x14ac:dyDescent="0.4">
      <c r="A301" s="6">
        <f t="shared" si="9"/>
        <v>300</v>
      </c>
      <c r="B301" s="6" t="str">
        <f t="shared" si="8"/>
        <v>Policy300</v>
      </c>
      <c r="C301" s="7" t="s">
        <v>11</v>
      </c>
      <c r="D301" s="6">
        <v>2025</v>
      </c>
      <c r="E301" s="6">
        <v>2026</v>
      </c>
      <c r="F301" s="8">
        <v>11617</v>
      </c>
    </row>
    <row r="302" spans="1:6" x14ac:dyDescent="0.4">
      <c r="A302" s="6">
        <f t="shared" si="9"/>
        <v>301</v>
      </c>
      <c r="B302" s="6" t="str">
        <f t="shared" si="8"/>
        <v>Policy301</v>
      </c>
      <c r="C302" s="7" t="s">
        <v>11</v>
      </c>
      <c r="D302" s="6">
        <v>2021</v>
      </c>
      <c r="E302" s="6">
        <v>2024</v>
      </c>
      <c r="F302" s="8">
        <v>29640</v>
      </c>
    </row>
    <row r="303" spans="1:6" x14ac:dyDescent="0.4">
      <c r="A303" s="6">
        <f t="shared" si="9"/>
        <v>302</v>
      </c>
      <c r="B303" s="6" t="str">
        <f t="shared" si="8"/>
        <v>Policy302</v>
      </c>
      <c r="C303" s="7" t="s">
        <v>12</v>
      </c>
      <c r="D303" s="6">
        <v>2025</v>
      </c>
      <c r="E303" s="6">
        <v>2026</v>
      </c>
      <c r="F303" s="8">
        <v>4413181</v>
      </c>
    </row>
    <row r="304" spans="1:6" x14ac:dyDescent="0.4">
      <c r="A304" s="6">
        <f t="shared" si="9"/>
        <v>303</v>
      </c>
      <c r="B304" s="6" t="str">
        <f t="shared" si="8"/>
        <v>Policy303</v>
      </c>
      <c r="C304" s="7" t="s">
        <v>12</v>
      </c>
      <c r="D304" s="6">
        <v>2024</v>
      </c>
      <c r="E304" s="6">
        <v>2026</v>
      </c>
      <c r="F304" s="8">
        <v>4152479</v>
      </c>
    </row>
    <row r="305" spans="1:6" x14ac:dyDescent="0.4">
      <c r="A305" s="6">
        <f t="shared" si="9"/>
        <v>304</v>
      </c>
      <c r="B305" s="6" t="str">
        <f t="shared" si="8"/>
        <v>Policy304</v>
      </c>
      <c r="C305" s="7" t="s">
        <v>12</v>
      </c>
      <c r="D305" s="6">
        <v>2025</v>
      </c>
      <c r="E305" s="6">
        <v>2026</v>
      </c>
      <c r="F305" s="8">
        <v>4549574</v>
      </c>
    </row>
    <row r="306" spans="1:6" x14ac:dyDescent="0.4">
      <c r="A306" s="6">
        <f t="shared" si="9"/>
        <v>305</v>
      </c>
      <c r="B306" s="6" t="str">
        <f t="shared" si="8"/>
        <v>Policy305</v>
      </c>
      <c r="C306" s="7" t="s">
        <v>12</v>
      </c>
      <c r="D306" s="6">
        <v>2021</v>
      </c>
      <c r="E306" s="6">
        <v>2025</v>
      </c>
      <c r="F306" s="8">
        <v>1400892</v>
      </c>
    </row>
    <row r="307" spans="1:6" x14ac:dyDescent="0.4">
      <c r="A307" s="6">
        <f t="shared" si="9"/>
        <v>306</v>
      </c>
      <c r="B307" s="6" t="str">
        <f t="shared" si="8"/>
        <v>Policy306</v>
      </c>
      <c r="C307" s="7" t="s">
        <v>11</v>
      </c>
      <c r="D307" s="6">
        <v>2023</v>
      </c>
      <c r="E307" s="6">
        <v>2024</v>
      </c>
      <c r="F307" s="8">
        <v>37040</v>
      </c>
    </row>
    <row r="308" spans="1:6" x14ac:dyDescent="0.4">
      <c r="A308" s="6">
        <f t="shared" si="9"/>
        <v>307</v>
      </c>
      <c r="B308" s="6" t="str">
        <f t="shared" si="8"/>
        <v>Policy307</v>
      </c>
      <c r="C308" s="7" t="s">
        <v>12</v>
      </c>
      <c r="D308" s="6">
        <v>2022</v>
      </c>
      <c r="E308" s="6">
        <v>2026</v>
      </c>
      <c r="F308" s="8">
        <v>762578</v>
      </c>
    </row>
    <row r="309" spans="1:6" x14ac:dyDescent="0.4">
      <c r="A309" s="6">
        <f t="shared" si="9"/>
        <v>308</v>
      </c>
      <c r="B309" s="6" t="str">
        <f t="shared" si="8"/>
        <v>Policy308</v>
      </c>
      <c r="C309" s="7" t="s">
        <v>11</v>
      </c>
      <c r="D309" s="6">
        <v>2023</v>
      </c>
      <c r="E309" s="6">
        <v>2026</v>
      </c>
      <c r="F309" s="8">
        <v>1021</v>
      </c>
    </row>
    <row r="310" spans="1:6" x14ac:dyDescent="0.4">
      <c r="A310" s="6">
        <f t="shared" si="9"/>
        <v>309</v>
      </c>
      <c r="B310" s="6" t="str">
        <f t="shared" si="8"/>
        <v>Policy309</v>
      </c>
      <c r="C310" s="7" t="s">
        <v>12</v>
      </c>
      <c r="D310" s="6">
        <v>2024</v>
      </c>
      <c r="E310" s="6">
        <v>2026</v>
      </c>
      <c r="F310" s="8">
        <v>3227477</v>
      </c>
    </row>
    <row r="311" spans="1:6" x14ac:dyDescent="0.4">
      <c r="A311" s="6">
        <f t="shared" si="9"/>
        <v>310</v>
      </c>
      <c r="B311" s="6" t="str">
        <f t="shared" si="8"/>
        <v>Policy310</v>
      </c>
      <c r="C311" s="7" t="s">
        <v>12</v>
      </c>
      <c r="D311" s="6">
        <v>2023</v>
      </c>
      <c r="E311" s="6">
        <v>2025</v>
      </c>
      <c r="F311" s="8">
        <v>1650091</v>
      </c>
    </row>
    <row r="312" spans="1:6" x14ac:dyDescent="0.4">
      <c r="A312" s="6">
        <f t="shared" si="9"/>
        <v>311</v>
      </c>
      <c r="B312" s="6" t="str">
        <f t="shared" si="8"/>
        <v>Policy311</v>
      </c>
      <c r="C312" s="7" t="s">
        <v>12</v>
      </c>
      <c r="D312" s="6">
        <v>2024</v>
      </c>
      <c r="E312" s="6">
        <v>2025</v>
      </c>
      <c r="F312" s="8">
        <v>629611</v>
      </c>
    </row>
    <row r="313" spans="1:6" x14ac:dyDescent="0.4">
      <c r="A313" s="6">
        <f t="shared" si="9"/>
        <v>312</v>
      </c>
      <c r="B313" s="6" t="str">
        <f t="shared" si="8"/>
        <v>Policy312</v>
      </c>
      <c r="C313" s="7" t="s">
        <v>12</v>
      </c>
      <c r="D313" s="6">
        <v>2023</v>
      </c>
      <c r="E313" s="6">
        <v>2025</v>
      </c>
      <c r="F313" s="8">
        <v>4896641</v>
      </c>
    </row>
    <row r="314" spans="1:6" x14ac:dyDescent="0.4">
      <c r="A314" s="6">
        <f t="shared" si="9"/>
        <v>313</v>
      </c>
      <c r="B314" s="6" t="str">
        <f t="shared" si="8"/>
        <v>Policy313</v>
      </c>
      <c r="C314" s="7" t="s">
        <v>12</v>
      </c>
      <c r="D314" s="6">
        <v>2021</v>
      </c>
      <c r="E314" s="6">
        <v>2024</v>
      </c>
      <c r="F314" s="8">
        <v>671813</v>
      </c>
    </row>
    <row r="315" spans="1:6" x14ac:dyDescent="0.4">
      <c r="A315" s="6">
        <f t="shared" si="9"/>
        <v>314</v>
      </c>
      <c r="B315" s="6" t="str">
        <f t="shared" si="8"/>
        <v>Policy314</v>
      </c>
      <c r="C315" s="7" t="s">
        <v>11</v>
      </c>
      <c r="D315" s="6">
        <v>2023</v>
      </c>
      <c r="E315" s="6">
        <v>2025</v>
      </c>
      <c r="F315" s="8">
        <v>26075</v>
      </c>
    </row>
    <row r="316" spans="1:6" x14ac:dyDescent="0.4">
      <c r="A316" s="6">
        <f t="shared" si="9"/>
        <v>315</v>
      </c>
      <c r="B316" s="6" t="str">
        <f t="shared" si="8"/>
        <v>Policy315</v>
      </c>
      <c r="C316" s="7" t="s">
        <v>11</v>
      </c>
      <c r="D316" s="6">
        <v>2025</v>
      </c>
      <c r="E316" s="6">
        <v>2026</v>
      </c>
      <c r="F316" s="8">
        <v>6018</v>
      </c>
    </row>
    <row r="317" spans="1:6" x14ac:dyDescent="0.4">
      <c r="A317" s="6">
        <f t="shared" si="9"/>
        <v>316</v>
      </c>
      <c r="B317" s="6" t="str">
        <f t="shared" si="8"/>
        <v>Policy316</v>
      </c>
      <c r="C317" s="7" t="s">
        <v>12</v>
      </c>
      <c r="D317" s="6">
        <v>2021</v>
      </c>
      <c r="E317" s="6">
        <v>2022</v>
      </c>
      <c r="F317" s="8">
        <v>1231394</v>
      </c>
    </row>
    <row r="318" spans="1:6" x14ac:dyDescent="0.4">
      <c r="A318" s="6">
        <f t="shared" si="9"/>
        <v>317</v>
      </c>
      <c r="B318" s="6" t="str">
        <f t="shared" si="8"/>
        <v>Policy317</v>
      </c>
      <c r="C318" s="7" t="s">
        <v>11</v>
      </c>
      <c r="D318" s="6">
        <v>2022</v>
      </c>
      <c r="E318" s="6">
        <v>2024</v>
      </c>
      <c r="F318" s="8">
        <v>45779</v>
      </c>
    </row>
    <row r="319" spans="1:6" x14ac:dyDescent="0.4">
      <c r="A319" s="6">
        <f t="shared" si="9"/>
        <v>318</v>
      </c>
      <c r="B319" s="6" t="str">
        <f t="shared" si="8"/>
        <v>Policy318</v>
      </c>
      <c r="C319" s="7" t="s">
        <v>11</v>
      </c>
      <c r="D319" s="6">
        <v>2024</v>
      </c>
      <c r="E319" s="6">
        <v>2026</v>
      </c>
      <c r="F319" s="8">
        <v>26577</v>
      </c>
    </row>
    <row r="320" spans="1:6" x14ac:dyDescent="0.4">
      <c r="A320" s="6">
        <f t="shared" si="9"/>
        <v>319</v>
      </c>
      <c r="B320" s="6" t="str">
        <f t="shared" si="8"/>
        <v>Policy319</v>
      </c>
      <c r="C320" s="7" t="s">
        <v>12</v>
      </c>
      <c r="D320" s="6">
        <v>2025</v>
      </c>
      <c r="E320" s="6">
        <v>2026</v>
      </c>
      <c r="F320" s="8">
        <v>1418101</v>
      </c>
    </row>
    <row r="321" spans="1:6" x14ac:dyDescent="0.4">
      <c r="A321" s="6">
        <f t="shared" si="9"/>
        <v>320</v>
      </c>
      <c r="B321" s="6" t="str">
        <f t="shared" si="8"/>
        <v>Policy320</v>
      </c>
      <c r="C321" s="7" t="s">
        <v>12</v>
      </c>
      <c r="D321" s="6">
        <v>2023</v>
      </c>
      <c r="E321" s="6">
        <v>2024</v>
      </c>
      <c r="F321" s="8">
        <v>3214662</v>
      </c>
    </row>
    <row r="322" spans="1:6" x14ac:dyDescent="0.4">
      <c r="A322" s="6">
        <f t="shared" si="9"/>
        <v>321</v>
      </c>
      <c r="B322" s="6" t="str">
        <f t="shared" si="8"/>
        <v>Policy321</v>
      </c>
      <c r="C322" s="7" t="s">
        <v>11</v>
      </c>
      <c r="D322" s="6">
        <v>2024</v>
      </c>
      <c r="E322" s="6">
        <v>2026</v>
      </c>
      <c r="F322" s="8">
        <v>40055</v>
      </c>
    </row>
    <row r="323" spans="1:6" x14ac:dyDescent="0.4">
      <c r="A323" s="6">
        <f t="shared" si="9"/>
        <v>322</v>
      </c>
      <c r="B323" s="6" t="str">
        <f t="shared" ref="B323:B386" si="10">"Policy"&amp;A323</f>
        <v>Policy322</v>
      </c>
      <c r="C323" s="7" t="s">
        <v>11</v>
      </c>
      <c r="D323" s="6">
        <v>2021</v>
      </c>
      <c r="E323" s="6">
        <v>2022</v>
      </c>
      <c r="F323" s="8">
        <v>14235</v>
      </c>
    </row>
    <row r="324" spans="1:6" x14ac:dyDescent="0.4">
      <c r="A324" s="6">
        <f t="shared" ref="A324:A387" si="11">A323+1</f>
        <v>323</v>
      </c>
      <c r="B324" s="6" t="str">
        <f t="shared" si="10"/>
        <v>Policy323</v>
      </c>
      <c r="C324" s="7" t="s">
        <v>12</v>
      </c>
      <c r="D324" s="6">
        <v>2024</v>
      </c>
      <c r="E324" s="6">
        <v>2026</v>
      </c>
      <c r="F324" s="8">
        <v>2098672</v>
      </c>
    </row>
    <row r="325" spans="1:6" x14ac:dyDescent="0.4">
      <c r="A325" s="6">
        <f t="shared" si="11"/>
        <v>324</v>
      </c>
      <c r="B325" s="6" t="str">
        <f t="shared" si="10"/>
        <v>Policy324</v>
      </c>
      <c r="C325" s="7" t="s">
        <v>11</v>
      </c>
      <c r="D325" s="6">
        <v>2025</v>
      </c>
      <c r="E325" s="6">
        <v>2026</v>
      </c>
      <c r="F325" s="8">
        <v>34202</v>
      </c>
    </row>
    <row r="326" spans="1:6" x14ac:dyDescent="0.4">
      <c r="A326" s="6">
        <f t="shared" si="11"/>
        <v>325</v>
      </c>
      <c r="B326" s="6" t="str">
        <f t="shared" si="10"/>
        <v>Policy325</v>
      </c>
      <c r="C326" s="7" t="s">
        <v>11</v>
      </c>
      <c r="D326" s="6">
        <v>2022</v>
      </c>
      <c r="E326" s="6">
        <v>2024</v>
      </c>
      <c r="F326" s="8">
        <v>4500</v>
      </c>
    </row>
    <row r="327" spans="1:6" x14ac:dyDescent="0.4">
      <c r="A327" s="6">
        <f t="shared" si="11"/>
        <v>326</v>
      </c>
      <c r="B327" s="6" t="str">
        <f t="shared" si="10"/>
        <v>Policy326</v>
      </c>
      <c r="C327" s="7" t="s">
        <v>12</v>
      </c>
      <c r="D327" s="6">
        <v>2024</v>
      </c>
      <c r="E327" s="6">
        <v>2025</v>
      </c>
      <c r="F327" s="8">
        <v>1841376</v>
      </c>
    </row>
    <row r="328" spans="1:6" x14ac:dyDescent="0.4">
      <c r="A328" s="6">
        <f t="shared" si="11"/>
        <v>327</v>
      </c>
      <c r="B328" s="6" t="str">
        <f t="shared" si="10"/>
        <v>Policy327</v>
      </c>
      <c r="C328" s="7" t="s">
        <v>12</v>
      </c>
      <c r="D328" s="6">
        <v>2021</v>
      </c>
      <c r="E328" s="6">
        <v>2025</v>
      </c>
      <c r="F328" s="8">
        <v>1851398</v>
      </c>
    </row>
    <row r="329" spans="1:6" x14ac:dyDescent="0.4">
      <c r="A329" s="6">
        <f t="shared" si="11"/>
        <v>328</v>
      </c>
      <c r="B329" s="6" t="str">
        <f t="shared" si="10"/>
        <v>Policy328</v>
      </c>
      <c r="C329" s="7" t="s">
        <v>11</v>
      </c>
      <c r="D329" s="6">
        <v>2024</v>
      </c>
      <c r="E329" s="6">
        <v>2025</v>
      </c>
      <c r="F329" s="8">
        <v>3067</v>
      </c>
    </row>
    <row r="330" spans="1:6" x14ac:dyDescent="0.4">
      <c r="A330" s="6">
        <f t="shared" si="11"/>
        <v>329</v>
      </c>
      <c r="B330" s="6" t="str">
        <f t="shared" si="10"/>
        <v>Policy329</v>
      </c>
      <c r="C330" s="7" t="s">
        <v>12</v>
      </c>
      <c r="D330" s="6">
        <v>2022</v>
      </c>
      <c r="E330" s="6">
        <v>2023</v>
      </c>
      <c r="F330" s="8">
        <v>2589829</v>
      </c>
    </row>
    <row r="331" spans="1:6" x14ac:dyDescent="0.4">
      <c r="A331" s="6">
        <f t="shared" si="11"/>
        <v>330</v>
      </c>
      <c r="B331" s="6" t="str">
        <f t="shared" si="10"/>
        <v>Policy330</v>
      </c>
      <c r="C331" s="7" t="s">
        <v>11</v>
      </c>
      <c r="D331" s="6">
        <v>2023</v>
      </c>
      <c r="E331" s="6">
        <v>2024</v>
      </c>
      <c r="F331" s="8">
        <v>10663</v>
      </c>
    </row>
    <row r="332" spans="1:6" x14ac:dyDescent="0.4">
      <c r="A332" s="6">
        <f t="shared" si="11"/>
        <v>331</v>
      </c>
      <c r="B332" s="6" t="str">
        <f t="shared" si="10"/>
        <v>Policy331</v>
      </c>
      <c r="C332" s="7" t="s">
        <v>11</v>
      </c>
      <c r="D332" s="6">
        <v>2021</v>
      </c>
      <c r="E332" s="6">
        <v>2022</v>
      </c>
      <c r="F332" s="8">
        <v>21146</v>
      </c>
    </row>
    <row r="333" spans="1:6" x14ac:dyDescent="0.4">
      <c r="A333" s="6">
        <f t="shared" si="11"/>
        <v>332</v>
      </c>
      <c r="B333" s="6" t="str">
        <f t="shared" si="10"/>
        <v>Policy332</v>
      </c>
      <c r="C333" s="7" t="s">
        <v>12</v>
      </c>
      <c r="D333" s="6">
        <v>2022</v>
      </c>
      <c r="E333" s="6">
        <v>2023</v>
      </c>
      <c r="F333" s="8">
        <v>2720028</v>
      </c>
    </row>
    <row r="334" spans="1:6" x14ac:dyDescent="0.4">
      <c r="A334" s="6">
        <f t="shared" si="11"/>
        <v>333</v>
      </c>
      <c r="B334" s="6" t="str">
        <f t="shared" si="10"/>
        <v>Policy333</v>
      </c>
      <c r="C334" s="7" t="s">
        <v>12</v>
      </c>
      <c r="D334" s="6">
        <v>2023</v>
      </c>
      <c r="E334" s="6">
        <v>2024</v>
      </c>
      <c r="F334" s="8">
        <v>4799093</v>
      </c>
    </row>
    <row r="335" spans="1:6" x14ac:dyDescent="0.4">
      <c r="A335" s="6">
        <f t="shared" si="11"/>
        <v>334</v>
      </c>
      <c r="B335" s="6" t="str">
        <f t="shared" si="10"/>
        <v>Policy334</v>
      </c>
      <c r="C335" s="7" t="s">
        <v>11</v>
      </c>
      <c r="D335" s="6">
        <v>2024</v>
      </c>
      <c r="E335" s="6">
        <v>2026</v>
      </c>
      <c r="F335" s="8">
        <v>45701</v>
      </c>
    </row>
    <row r="336" spans="1:6" x14ac:dyDescent="0.4">
      <c r="A336" s="6">
        <f t="shared" si="11"/>
        <v>335</v>
      </c>
      <c r="B336" s="6" t="str">
        <f t="shared" si="10"/>
        <v>Policy335</v>
      </c>
      <c r="C336" s="7" t="s">
        <v>12</v>
      </c>
      <c r="D336" s="6">
        <v>2025</v>
      </c>
      <c r="E336" s="6">
        <v>2026</v>
      </c>
      <c r="F336" s="8">
        <v>640875</v>
      </c>
    </row>
    <row r="337" spans="1:6" x14ac:dyDescent="0.4">
      <c r="A337" s="6">
        <f t="shared" si="11"/>
        <v>336</v>
      </c>
      <c r="B337" s="6" t="str">
        <f t="shared" si="10"/>
        <v>Policy336</v>
      </c>
      <c r="C337" s="7" t="s">
        <v>11</v>
      </c>
      <c r="D337" s="6">
        <v>2023</v>
      </c>
      <c r="E337" s="6">
        <v>2025</v>
      </c>
      <c r="F337" s="8">
        <v>40157</v>
      </c>
    </row>
    <row r="338" spans="1:6" x14ac:dyDescent="0.4">
      <c r="A338" s="6">
        <f t="shared" si="11"/>
        <v>337</v>
      </c>
      <c r="B338" s="6" t="str">
        <f t="shared" si="10"/>
        <v>Policy337</v>
      </c>
      <c r="C338" s="7" t="s">
        <v>11</v>
      </c>
      <c r="D338" s="6">
        <v>2021</v>
      </c>
      <c r="E338" s="6">
        <v>2024</v>
      </c>
      <c r="F338" s="8">
        <v>40342</v>
      </c>
    </row>
    <row r="339" spans="1:6" x14ac:dyDescent="0.4">
      <c r="A339" s="6">
        <f t="shared" si="11"/>
        <v>338</v>
      </c>
      <c r="B339" s="6" t="str">
        <f t="shared" si="10"/>
        <v>Policy338</v>
      </c>
      <c r="C339" s="7" t="s">
        <v>12</v>
      </c>
      <c r="D339" s="6">
        <v>2023</v>
      </c>
      <c r="E339" s="6">
        <v>2026</v>
      </c>
      <c r="F339" s="8">
        <v>1396265</v>
      </c>
    </row>
    <row r="340" spans="1:6" x14ac:dyDescent="0.4">
      <c r="A340" s="6">
        <f t="shared" si="11"/>
        <v>339</v>
      </c>
      <c r="B340" s="6" t="str">
        <f t="shared" si="10"/>
        <v>Policy339</v>
      </c>
      <c r="C340" s="7" t="s">
        <v>12</v>
      </c>
      <c r="D340" s="6">
        <v>2022</v>
      </c>
      <c r="E340" s="6">
        <v>2025</v>
      </c>
      <c r="F340" s="8">
        <v>500046</v>
      </c>
    </row>
    <row r="341" spans="1:6" x14ac:dyDescent="0.4">
      <c r="A341" s="6">
        <f t="shared" si="11"/>
        <v>340</v>
      </c>
      <c r="B341" s="6" t="str">
        <f t="shared" si="10"/>
        <v>Policy340</v>
      </c>
      <c r="C341" s="7" t="s">
        <v>12</v>
      </c>
      <c r="D341" s="6">
        <v>2022</v>
      </c>
      <c r="E341" s="6">
        <v>2023</v>
      </c>
      <c r="F341" s="8">
        <v>12613</v>
      </c>
    </row>
    <row r="342" spans="1:6" x14ac:dyDescent="0.4">
      <c r="A342" s="6">
        <f t="shared" si="11"/>
        <v>341</v>
      </c>
      <c r="B342" s="6" t="str">
        <f t="shared" si="10"/>
        <v>Policy341</v>
      </c>
      <c r="C342" s="7" t="s">
        <v>12</v>
      </c>
      <c r="D342" s="6">
        <v>2022</v>
      </c>
      <c r="E342" s="6">
        <v>2026</v>
      </c>
      <c r="F342" s="8">
        <v>4959093</v>
      </c>
    </row>
    <row r="343" spans="1:6" x14ac:dyDescent="0.4">
      <c r="A343" s="6">
        <f t="shared" si="11"/>
        <v>342</v>
      </c>
      <c r="B343" s="6" t="str">
        <f t="shared" si="10"/>
        <v>Policy342</v>
      </c>
      <c r="C343" s="7" t="s">
        <v>12</v>
      </c>
      <c r="D343" s="6">
        <v>2024</v>
      </c>
      <c r="E343" s="6">
        <v>2026</v>
      </c>
      <c r="F343" s="8">
        <v>3585656</v>
      </c>
    </row>
    <row r="344" spans="1:6" x14ac:dyDescent="0.4">
      <c r="A344" s="6">
        <f t="shared" si="11"/>
        <v>343</v>
      </c>
      <c r="B344" s="6" t="str">
        <f t="shared" si="10"/>
        <v>Policy343</v>
      </c>
      <c r="C344" s="7" t="s">
        <v>11</v>
      </c>
      <c r="D344" s="6">
        <v>2022</v>
      </c>
      <c r="E344" s="6">
        <v>2023</v>
      </c>
      <c r="F344" s="8">
        <v>13531</v>
      </c>
    </row>
    <row r="345" spans="1:6" x14ac:dyDescent="0.4">
      <c r="A345" s="6">
        <f t="shared" si="11"/>
        <v>344</v>
      </c>
      <c r="B345" s="6" t="str">
        <f t="shared" si="10"/>
        <v>Policy344</v>
      </c>
      <c r="C345" s="7" t="s">
        <v>11</v>
      </c>
      <c r="D345" s="6">
        <v>2025</v>
      </c>
      <c r="E345" s="6">
        <v>2026</v>
      </c>
      <c r="F345" s="8">
        <v>26634</v>
      </c>
    </row>
    <row r="346" spans="1:6" x14ac:dyDescent="0.4">
      <c r="A346" s="6">
        <f t="shared" si="11"/>
        <v>345</v>
      </c>
      <c r="B346" s="6" t="str">
        <f t="shared" si="10"/>
        <v>Policy345</v>
      </c>
      <c r="C346" s="7" t="s">
        <v>12</v>
      </c>
      <c r="D346" s="6">
        <v>2023</v>
      </c>
      <c r="E346" s="6">
        <v>2026</v>
      </c>
      <c r="F346" s="8">
        <v>672345</v>
      </c>
    </row>
    <row r="347" spans="1:6" x14ac:dyDescent="0.4">
      <c r="A347" s="6">
        <f t="shared" si="11"/>
        <v>346</v>
      </c>
      <c r="B347" s="6" t="str">
        <f t="shared" si="10"/>
        <v>Policy346</v>
      </c>
      <c r="C347" s="7" t="s">
        <v>11</v>
      </c>
      <c r="D347" s="6">
        <v>2023</v>
      </c>
      <c r="E347" s="6">
        <v>2026</v>
      </c>
      <c r="F347" s="8">
        <v>47109</v>
      </c>
    </row>
    <row r="348" spans="1:6" x14ac:dyDescent="0.4">
      <c r="A348" s="6">
        <f t="shared" si="11"/>
        <v>347</v>
      </c>
      <c r="B348" s="6" t="str">
        <f t="shared" si="10"/>
        <v>Policy347</v>
      </c>
      <c r="C348" s="7" t="s">
        <v>11</v>
      </c>
      <c r="D348" s="6">
        <v>2024</v>
      </c>
      <c r="E348" s="6">
        <v>2025</v>
      </c>
      <c r="F348" s="8">
        <v>10904</v>
      </c>
    </row>
    <row r="349" spans="1:6" x14ac:dyDescent="0.4">
      <c r="A349" s="6">
        <f t="shared" si="11"/>
        <v>348</v>
      </c>
      <c r="B349" s="6" t="str">
        <f t="shared" si="10"/>
        <v>Policy348</v>
      </c>
      <c r="C349" s="7" t="s">
        <v>12</v>
      </c>
      <c r="D349" s="6">
        <v>2024</v>
      </c>
      <c r="E349" s="6">
        <v>2025</v>
      </c>
      <c r="F349" s="8">
        <v>3165519</v>
      </c>
    </row>
    <row r="350" spans="1:6" x14ac:dyDescent="0.4">
      <c r="A350" s="6">
        <f t="shared" si="11"/>
        <v>349</v>
      </c>
      <c r="B350" s="6" t="str">
        <f t="shared" si="10"/>
        <v>Policy349</v>
      </c>
      <c r="C350" s="7" t="s">
        <v>11</v>
      </c>
      <c r="D350" s="6">
        <v>2025</v>
      </c>
      <c r="E350" s="6">
        <v>2026</v>
      </c>
      <c r="F350" s="8">
        <v>20022</v>
      </c>
    </row>
    <row r="351" spans="1:6" x14ac:dyDescent="0.4">
      <c r="A351" s="6">
        <f t="shared" si="11"/>
        <v>350</v>
      </c>
      <c r="B351" s="6" t="str">
        <f t="shared" si="10"/>
        <v>Policy350</v>
      </c>
      <c r="C351" s="7" t="s">
        <v>11</v>
      </c>
      <c r="D351" s="6">
        <v>2025</v>
      </c>
      <c r="E351" s="6">
        <v>2026</v>
      </c>
      <c r="F351" s="8">
        <v>39687</v>
      </c>
    </row>
    <row r="352" spans="1:6" x14ac:dyDescent="0.4">
      <c r="A352" s="6">
        <f t="shared" si="11"/>
        <v>351</v>
      </c>
      <c r="B352" s="6" t="str">
        <f t="shared" si="10"/>
        <v>Policy351</v>
      </c>
      <c r="C352" s="7" t="s">
        <v>12</v>
      </c>
      <c r="D352" s="6">
        <v>2025</v>
      </c>
      <c r="E352" s="6">
        <v>2026</v>
      </c>
      <c r="F352" s="8">
        <v>2176468</v>
      </c>
    </row>
    <row r="353" spans="1:6" x14ac:dyDescent="0.4">
      <c r="A353" s="6">
        <f t="shared" si="11"/>
        <v>352</v>
      </c>
      <c r="B353" s="6" t="str">
        <f t="shared" si="10"/>
        <v>Policy352</v>
      </c>
      <c r="C353" s="7" t="s">
        <v>12</v>
      </c>
      <c r="D353" s="6">
        <v>2021</v>
      </c>
      <c r="E353" s="6">
        <v>2025</v>
      </c>
      <c r="F353" s="8">
        <v>4945681</v>
      </c>
    </row>
    <row r="354" spans="1:6" x14ac:dyDescent="0.4">
      <c r="A354" s="6">
        <f t="shared" si="11"/>
        <v>353</v>
      </c>
      <c r="B354" s="6" t="str">
        <f t="shared" si="10"/>
        <v>Policy353</v>
      </c>
      <c r="C354" s="7" t="s">
        <v>11</v>
      </c>
      <c r="D354" s="6">
        <v>2025</v>
      </c>
      <c r="E354" s="6">
        <v>2026</v>
      </c>
      <c r="F354" s="8">
        <v>10243</v>
      </c>
    </row>
    <row r="355" spans="1:6" x14ac:dyDescent="0.4">
      <c r="A355" s="6">
        <f t="shared" si="11"/>
        <v>354</v>
      </c>
      <c r="B355" s="6" t="str">
        <f t="shared" si="10"/>
        <v>Policy354</v>
      </c>
      <c r="C355" s="7" t="s">
        <v>11</v>
      </c>
      <c r="D355" s="6">
        <v>2022</v>
      </c>
      <c r="E355" s="6">
        <v>2024</v>
      </c>
      <c r="F355" s="8">
        <v>18538</v>
      </c>
    </row>
    <row r="356" spans="1:6" x14ac:dyDescent="0.4">
      <c r="A356" s="6">
        <f t="shared" si="11"/>
        <v>355</v>
      </c>
      <c r="B356" s="6" t="str">
        <f t="shared" si="10"/>
        <v>Policy355</v>
      </c>
      <c r="C356" s="7" t="s">
        <v>12</v>
      </c>
      <c r="D356" s="6">
        <v>2021</v>
      </c>
      <c r="E356" s="6">
        <v>2022</v>
      </c>
      <c r="F356" s="8">
        <v>2832603</v>
      </c>
    </row>
    <row r="357" spans="1:6" x14ac:dyDescent="0.4">
      <c r="A357" s="6">
        <f t="shared" si="11"/>
        <v>356</v>
      </c>
      <c r="B357" s="6" t="str">
        <f t="shared" si="10"/>
        <v>Policy356</v>
      </c>
      <c r="C357" s="7" t="s">
        <v>11</v>
      </c>
      <c r="D357" s="6">
        <v>2021</v>
      </c>
      <c r="E357" s="6">
        <v>2023</v>
      </c>
      <c r="F357" s="8">
        <v>35620</v>
      </c>
    </row>
    <row r="358" spans="1:6" x14ac:dyDescent="0.4">
      <c r="A358" s="6">
        <f t="shared" si="11"/>
        <v>357</v>
      </c>
      <c r="B358" s="6" t="str">
        <f t="shared" si="10"/>
        <v>Policy357</v>
      </c>
      <c r="C358" s="7" t="s">
        <v>12</v>
      </c>
      <c r="D358" s="6">
        <v>2023</v>
      </c>
      <c r="E358" s="6">
        <v>2024</v>
      </c>
      <c r="F358" s="8">
        <v>3530454</v>
      </c>
    </row>
    <row r="359" spans="1:6" x14ac:dyDescent="0.4">
      <c r="A359" s="6">
        <f t="shared" si="11"/>
        <v>358</v>
      </c>
      <c r="B359" s="6" t="str">
        <f t="shared" si="10"/>
        <v>Policy358</v>
      </c>
      <c r="C359" s="7" t="s">
        <v>12</v>
      </c>
      <c r="D359" s="6">
        <v>2021</v>
      </c>
      <c r="E359" s="6">
        <v>2025</v>
      </c>
      <c r="F359" s="8">
        <v>2598093</v>
      </c>
    </row>
    <row r="360" spans="1:6" x14ac:dyDescent="0.4">
      <c r="A360" s="6">
        <f t="shared" si="11"/>
        <v>359</v>
      </c>
      <c r="B360" s="6" t="str">
        <f t="shared" si="10"/>
        <v>Policy359</v>
      </c>
      <c r="C360" s="7" t="s">
        <v>11</v>
      </c>
      <c r="D360" s="6">
        <v>2022</v>
      </c>
      <c r="E360" s="6">
        <v>2025</v>
      </c>
      <c r="F360" s="8">
        <v>1938</v>
      </c>
    </row>
    <row r="361" spans="1:6" x14ac:dyDescent="0.4">
      <c r="A361" s="6">
        <f t="shared" si="11"/>
        <v>360</v>
      </c>
      <c r="B361" s="6" t="str">
        <f t="shared" si="10"/>
        <v>Policy360</v>
      </c>
      <c r="C361" s="7" t="s">
        <v>12</v>
      </c>
      <c r="D361" s="6">
        <v>2025</v>
      </c>
      <c r="E361" s="6">
        <v>2026</v>
      </c>
      <c r="F361" s="8">
        <v>1315237</v>
      </c>
    </row>
    <row r="362" spans="1:6" x14ac:dyDescent="0.4">
      <c r="A362" s="6">
        <f t="shared" si="11"/>
        <v>361</v>
      </c>
      <c r="B362" s="6" t="str">
        <f t="shared" si="10"/>
        <v>Policy361</v>
      </c>
      <c r="C362" s="7" t="s">
        <v>11</v>
      </c>
      <c r="D362" s="6">
        <v>2021</v>
      </c>
      <c r="E362" s="6">
        <v>2025</v>
      </c>
      <c r="F362" s="8">
        <v>21587</v>
      </c>
    </row>
    <row r="363" spans="1:6" x14ac:dyDescent="0.4">
      <c r="A363" s="6">
        <f t="shared" si="11"/>
        <v>362</v>
      </c>
      <c r="B363" s="6" t="str">
        <f t="shared" si="10"/>
        <v>Policy362</v>
      </c>
      <c r="C363" s="7" t="s">
        <v>12</v>
      </c>
      <c r="D363" s="6">
        <v>2023</v>
      </c>
      <c r="E363" s="6">
        <v>2025</v>
      </c>
      <c r="F363" s="8">
        <v>1593817</v>
      </c>
    </row>
    <row r="364" spans="1:6" x14ac:dyDescent="0.4">
      <c r="A364" s="6">
        <f t="shared" si="11"/>
        <v>363</v>
      </c>
      <c r="B364" s="6" t="str">
        <f t="shared" si="10"/>
        <v>Policy363</v>
      </c>
      <c r="C364" s="7" t="s">
        <v>12</v>
      </c>
      <c r="D364" s="6">
        <v>2025</v>
      </c>
      <c r="E364" s="6">
        <v>2026</v>
      </c>
      <c r="F364" s="8">
        <v>3531539</v>
      </c>
    </row>
    <row r="365" spans="1:6" x14ac:dyDescent="0.4">
      <c r="A365" s="6">
        <f t="shared" si="11"/>
        <v>364</v>
      </c>
      <c r="B365" s="6" t="str">
        <f t="shared" si="10"/>
        <v>Policy364</v>
      </c>
      <c r="C365" s="7" t="s">
        <v>12</v>
      </c>
      <c r="D365" s="6">
        <v>2021</v>
      </c>
      <c r="E365" s="6">
        <v>2024</v>
      </c>
      <c r="F365" s="8">
        <v>2533751</v>
      </c>
    </row>
    <row r="366" spans="1:6" x14ac:dyDescent="0.4">
      <c r="A366" s="6">
        <f t="shared" si="11"/>
        <v>365</v>
      </c>
      <c r="B366" s="6" t="str">
        <f t="shared" si="10"/>
        <v>Policy365</v>
      </c>
      <c r="C366" s="7" t="s">
        <v>12</v>
      </c>
      <c r="D366" s="6">
        <v>2022</v>
      </c>
      <c r="E366" s="6">
        <v>2025</v>
      </c>
      <c r="F366" s="8">
        <v>1777934</v>
      </c>
    </row>
    <row r="367" spans="1:6" x14ac:dyDescent="0.4">
      <c r="A367" s="6">
        <f t="shared" si="11"/>
        <v>366</v>
      </c>
      <c r="B367" s="6" t="str">
        <f t="shared" si="10"/>
        <v>Policy366</v>
      </c>
      <c r="C367" s="7" t="s">
        <v>11</v>
      </c>
      <c r="D367" s="6">
        <v>2025</v>
      </c>
      <c r="E367" s="6">
        <v>2026</v>
      </c>
      <c r="F367" s="8">
        <v>13514</v>
      </c>
    </row>
    <row r="368" spans="1:6" x14ac:dyDescent="0.4">
      <c r="A368" s="6">
        <f t="shared" si="11"/>
        <v>367</v>
      </c>
      <c r="B368" s="6" t="str">
        <f t="shared" si="10"/>
        <v>Policy367</v>
      </c>
      <c r="C368" s="7" t="s">
        <v>11</v>
      </c>
      <c r="D368" s="6">
        <v>2022</v>
      </c>
      <c r="E368" s="6">
        <v>2024</v>
      </c>
      <c r="F368" s="8">
        <v>43215</v>
      </c>
    </row>
    <row r="369" spans="1:6" x14ac:dyDescent="0.4">
      <c r="A369" s="6">
        <f t="shared" si="11"/>
        <v>368</v>
      </c>
      <c r="B369" s="6" t="str">
        <f t="shared" si="10"/>
        <v>Policy368</v>
      </c>
      <c r="C369" s="7" t="s">
        <v>11</v>
      </c>
      <c r="D369" s="6">
        <v>2024</v>
      </c>
      <c r="E369" s="6">
        <v>2026</v>
      </c>
      <c r="F369" s="8">
        <v>32350</v>
      </c>
    </row>
    <row r="370" spans="1:6" x14ac:dyDescent="0.4">
      <c r="A370" s="6">
        <f t="shared" si="11"/>
        <v>369</v>
      </c>
      <c r="B370" s="6" t="str">
        <f t="shared" si="10"/>
        <v>Policy369</v>
      </c>
      <c r="C370" s="7" t="s">
        <v>12</v>
      </c>
      <c r="D370" s="6">
        <v>2022</v>
      </c>
      <c r="E370" s="6">
        <v>2024</v>
      </c>
      <c r="F370" s="8">
        <v>2610322</v>
      </c>
    </row>
    <row r="371" spans="1:6" x14ac:dyDescent="0.4">
      <c r="A371" s="6">
        <f t="shared" si="11"/>
        <v>370</v>
      </c>
      <c r="B371" s="6" t="str">
        <f t="shared" si="10"/>
        <v>Policy370</v>
      </c>
      <c r="C371" s="7" t="s">
        <v>12</v>
      </c>
      <c r="D371" s="6">
        <v>2025</v>
      </c>
      <c r="E371" s="6">
        <v>2026</v>
      </c>
      <c r="F371" s="8">
        <v>2015534</v>
      </c>
    </row>
    <row r="372" spans="1:6" x14ac:dyDescent="0.4">
      <c r="A372" s="6">
        <f t="shared" si="11"/>
        <v>371</v>
      </c>
      <c r="B372" s="6" t="str">
        <f t="shared" si="10"/>
        <v>Policy371</v>
      </c>
      <c r="C372" s="7" t="s">
        <v>12</v>
      </c>
      <c r="D372" s="6">
        <v>2021</v>
      </c>
      <c r="E372" s="6">
        <v>2022</v>
      </c>
      <c r="F372" s="8">
        <v>433574</v>
      </c>
    </row>
    <row r="373" spans="1:6" x14ac:dyDescent="0.4">
      <c r="A373" s="6">
        <f t="shared" si="11"/>
        <v>372</v>
      </c>
      <c r="B373" s="6" t="str">
        <f t="shared" si="10"/>
        <v>Policy372</v>
      </c>
      <c r="C373" s="7" t="s">
        <v>11</v>
      </c>
      <c r="D373" s="6">
        <v>2023</v>
      </c>
      <c r="E373" s="6">
        <v>2024</v>
      </c>
      <c r="F373" s="8">
        <v>10104</v>
      </c>
    </row>
    <row r="374" spans="1:6" x14ac:dyDescent="0.4">
      <c r="A374" s="6">
        <f t="shared" si="11"/>
        <v>373</v>
      </c>
      <c r="B374" s="6" t="str">
        <f t="shared" si="10"/>
        <v>Policy373</v>
      </c>
      <c r="C374" s="7" t="s">
        <v>12</v>
      </c>
      <c r="D374" s="6">
        <v>2022</v>
      </c>
      <c r="E374" s="6">
        <v>2024</v>
      </c>
      <c r="F374" s="8">
        <v>3043655</v>
      </c>
    </row>
    <row r="375" spans="1:6" x14ac:dyDescent="0.4">
      <c r="A375" s="6">
        <f t="shared" si="11"/>
        <v>374</v>
      </c>
      <c r="B375" s="6" t="str">
        <f t="shared" si="10"/>
        <v>Policy374</v>
      </c>
      <c r="C375" s="7" t="s">
        <v>11</v>
      </c>
      <c r="D375" s="6">
        <v>2024</v>
      </c>
      <c r="E375" s="6">
        <v>2026</v>
      </c>
      <c r="F375" s="8">
        <v>16850</v>
      </c>
    </row>
    <row r="376" spans="1:6" x14ac:dyDescent="0.4">
      <c r="A376" s="6">
        <f t="shared" si="11"/>
        <v>375</v>
      </c>
      <c r="B376" s="6" t="str">
        <f t="shared" si="10"/>
        <v>Policy375</v>
      </c>
      <c r="C376" s="7" t="s">
        <v>11</v>
      </c>
      <c r="D376" s="6">
        <v>2023</v>
      </c>
      <c r="E376" s="6">
        <v>2024</v>
      </c>
      <c r="F376" s="8">
        <v>36258</v>
      </c>
    </row>
    <row r="377" spans="1:6" x14ac:dyDescent="0.4">
      <c r="A377" s="6">
        <f t="shared" si="11"/>
        <v>376</v>
      </c>
      <c r="B377" s="6" t="str">
        <f t="shared" si="10"/>
        <v>Policy376</v>
      </c>
      <c r="C377" s="7" t="s">
        <v>11</v>
      </c>
      <c r="D377" s="6">
        <v>2022</v>
      </c>
      <c r="E377" s="6">
        <v>2024</v>
      </c>
      <c r="F377" s="8">
        <v>21625</v>
      </c>
    </row>
    <row r="378" spans="1:6" x14ac:dyDescent="0.4">
      <c r="A378" s="6">
        <f t="shared" si="11"/>
        <v>377</v>
      </c>
      <c r="B378" s="6" t="str">
        <f t="shared" si="10"/>
        <v>Policy377</v>
      </c>
      <c r="C378" s="7" t="s">
        <v>11</v>
      </c>
      <c r="D378" s="6">
        <v>2023</v>
      </c>
      <c r="E378" s="6">
        <v>2024</v>
      </c>
      <c r="F378" s="8">
        <v>27605</v>
      </c>
    </row>
    <row r="379" spans="1:6" x14ac:dyDescent="0.4">
      <c r="A379" s="6">
        <f t="shared" si="11"/>
        <v>378</v>
      </c>
      <c r="B379" s="6" t="str">
        <f t="shared" si="10"/>
        <v>Policy378</v>
      </c>
      <c r="C379" s="7" t="s">
        <v>12</v>
      </c>
      <c r="D379" s="6">
        <v>2023</v>
      </c>
      <c r="E379" s="6">
        <v>2025</v>
      </c>
      <c r="F379" s="8">
        <v>4951409</v>
      </c>
    </row>
    <row r="380" spans="1:6" x14ac:dyDescent="0.4">
      <c r="A380" s="6">
        <f t="shared" si="11"/>
        <v>379</v>
      </c>
      <c r="B380" s="6" t="str">
        <f t="shared" si="10"/>
        <v>Policy379</v>
      </c>
      <c r="C380" s="7" t="s">
        <v>12</v>
      </c>
      <c r="D380" s="6">
        <v>2025</v>
      </c>
      <c r="E380" s="6">
        <v>2026</v>
      </c>
      <c r="F380" s="8">
        <v>1643687</v>
      </c>
    </row>
    <row r="381" spans="1:6" x14ac:dyDescent="0.4">
      <c r="A381" s="6">
        <f t="shared" si="11"/>
        <v>380</v>
      </c>
      <c r="B381" s="6" t="str">
        <f t="shared" si="10"/>
        <v>Policy380</v>
      </c>
      <c r="C381" s="7" t="s">
        <v>11</v>
      </c>
      <c r="D381" s="6">
        <v>2022</v>
      </c>
      <c r="E381" s="6">
        <v>2023</v>
      </c>
      <c r="F381" s="8">
        <v>4312</v>
      </c>
    </row>
    <row r="382" spans="1:6" x14ac:dyDescent="0.4">
      <c r="A382" s="6">
        <f t="shared" si="11"/>
        <v>381</v>
      </c>
      <c r="B382" s="6" t="str">
        <f t="shared" si="10"/>
        <v>Policy381</v>
      </c>
      <c r="C382" s="7" t="s">
        <v>11</v>
      </c>
      <c r="D382" s="6">
        <v>2024</v>
      </c>
      <c r="E382" s="6">
        <v>2025</v>
      </c>
      <c r="F382" s="8">
        <v>14139</v>
      </c>
    </row>
    <row r="383" spans="1:6" x14ac:dyDescent="0.4">
      <c r="A383" s="6">
        <f t="shared" si="11"/>
        <v>382</v>
      </c>
      <c r="B383" s="6" t="str">
        <f t="shared" si="10"/>
        <v>Policy382</v>
      </c>
      <c r="C383" s="7" t="s">
        <v>11</v>
      </c>
      <c r="D383" s="6">
        <v>2022</v>
      </c>
      <c r="E383" s="6">
        <v>2024</v>
      </c>
      <c r="F383" s="8">
        <v>23446</v>
      </c>
    </row>
    <row r="384" spans="1:6" x14ac:dyDescent="0.4">
      <c r="A384" s="6">
        <f t="shared" si="11"/>
        <v>383</v>
      </c>
      <c r="B384" s="6" t="str">
        <f t="shared" si="10"/>
        <v>Policy383</v>
      </c>
      <c r="C384" s="7" t="s">
        <v>12</v>
      </c>
      <c r="D384" s="6">
        <v>2021</v>
      </c>
      <c r="E384" s="6">
        <v>2022</v>
      </c>
      <c r="F384" s="8">
        <v>4524337</v>
      </c>
    </row>
    <row r="385" spans="1:6" x14ac:dyDescent="0.4">
      <c r="A385" s="6">
        <f t="shared" si="11"/>
        <v>384</v>
      </c>
      <c r="B385" s="6" t="str">
        <f t="shared" si="10"/>
        <v>Policy384</v>
      </c>
      <c r="C385" s="7" t="s">
        <v>11</v>
      </c>
      <c r="D385" s="6">
        <v>2024</v>
      </c>
      <c r="E385" s="6">
        <v>2025</v>
      </c>
      <c r="F385" s="8">
        <v>9855</v>
      </c>
    </row>
    <row r="386" spans="1:6" x14ac:dyDescent="0.4">
      <c r="A386" s="6">
        <f t="shared" si="11"/>
        <v>385</v>
      </c>
      <c r="B386" s="6" t="str">
        <f t="shared" si="10"/>
        <v>Policy385</v>
      </c>
      <c r="C386" s="7" t="s">
        <v>11</v>
      </c>
      <c r="D386" s="6">
        <v>2023</v>
      </c>
      <c r="E386" s="6">
        <v>2025</v>
      </c>
      <c r="F386" s="8">
        <v>22644</v>
      </c>
    </row>
    <row r="387" spans="1:6" x14ac:dyDescent="0.4">
      <c r="A387" s="6">
        <f t="shared" si="11"/>
        <v>386</v>
      </c>
      <c r="B387" s="6" t="str">
        <f t="shared" ref="B387:B450" si="12">"Policy"&amp;A387</f>
        <v>Policy386</v>
      </c>
      <c r="C387" s="7" t="s">
        <v>12</v>
      </c>
      <c r="D387" s="6">
        <v>2025</v>
      </c>
      <c r="E387" s="6">
        <v>2026</v>
      </c>
      <c r="F387" s="8">
        <v>2207164</v>
      </c>
    </row>
    <row r="388" spans="1:6" x14ac:dyDescent="0.4">
      <c r="A388" s="6">
        <f t="shared" ref="A388:A451" si="13">A387+1</f>
        <v>387</v>
      </c>
      <c r="B388" s="6" t="str">
        <f t="shared" si="12"/>
        <v>Policy387</v>
      </c>
      <c r="C388" s="7" t="s">
        <v>12</v>
      </c>
      <c r="D388" s="6">
        <v>2025</v>
      </c>
      <c r="E388" s="6">
        <v>2026</v>
      </c>
      <c r="F388" s="8">
        <v>283230</v>
      </c>
    </row>
    <row r="389" spans="1:6" x14ac:dyDescent="0.4">
      <c r="A389" s="6">
        <f t="shared" si="13"/>
        <v>388</v>
      </c>
      <c r="B389" s="6" t="str">
        <f t="shared" si="12"/>
        <v>Policy388</v>
      </c>
      <c r="C389" s="7" t="s">
        <v>12</v>
      </c>
      <c r="D389" s="6">
        <v>2021</v>
      </c>
      <c r="E389" s="6">
        <v>2026</v>
      </c>
      <c r="F389" s="8">
        <v>2546890</v>
      </c>
    </row>
    <row r="390" spans="1:6" x14ac:dyDescent="0.4">
      <c r="A390" s="6">
        <f t="shared" si="13"/>
        <v>389</v>
      </c>
      <c r="B390" s="6" t="str">
        <f t="shared" si="12"/>
        <v>Policy389</v>
      </c>
      <c r="C390" s="7" t="s">
        <v>12</v>
      </c>
      <c r="D390" s="6">
        <v>2022</v>
      </c>
      <c r="E390" s="6">
        <v>2026</v>
      </c>
      <c r="F390" s="8">
        <v>244287</v>
      </c>
    </row>
    <row r="391" spans="1:6" x14ac:dyDescent="0.4">
      <c r="A391" s="6">
        <f t="shared" si="13"/>
        <v>390</v>
      </c>
      <c r="B391" s="6" t="str">
        <f t="shared" si="12"/>
        <v>Policy390</v>
      </c>
      <c r="C391" s="7" t="s">
        <v>11</v>
      </c>
      <c r="D391" s="6">
        <v>2021</v>
      </c>
      <c r="E391" s="6">
        <v>2024</v>
      </c>
      <c r="F391" s="8">
        <v>32493</v>
      </c>
    </row>
    <row r="392" spans="1:6" x14ac:dyDescent="0.4">
      <c r="A392" s="6">
        <f t="shared" si="13"/>
        <v>391</v>
      </c>
      <c r="B392" s="6" t="str">
        <f t="shared" si="12"/>
        <v>Policy391</v>
      </c>
      <c r="C392" s="7" t="s">
        <v>12</v>
      </c>
      <c r="D392" s="6">
        <v>2022</v>
      </c>
      <c r="E392" s="6">
        <v>2023</v>
      </c>
      <c r="F392" s="8">
        <v>1550877</v>
      </c>
    </row>
    <row r="393" spans="1:6" x14ac:dyDescent="0.4">
      <c r="A393" s="6">
        <f t="shared" si="13"/>
        <v>392</v>
      </c>
      <c r="B393" s="6" t="str">
        <f t="shared" si="12"/>
        <v>Policy392</v>
      </c>
      <c r="C393" s="7" t="s">
        <v>11</v>
      </c>
      <c r="D393" s="6">
        <v>2024</v>
      </c>
      <c r="E393" s="6">
        <v>2025</v>
      </c>
      <c r="F393" s="8">
        <v>35282</v>
      </c>
    </row>
    <row r="394" spans="1:6" x14ac:dyDescent="0.4">
      <c r="A394" s="6">
        <f t="shared" si="13"/>
        <v>393</v>
      </c>
      <c r="B394" s="6" t="str">
        <f t="shared" si="12"/>
        <v>Policy393</v>
      </c>
      <c r="C394" s="7" t="s">
        <v>12</v>
      </c>
      <c r="D394" s="6">
        <v>2023</v>
      </c>
      <c r="E394" s="6">
        <v>2026</v>
      </c>
      <c r="F394" s="8">
        <v>594635</v>
      </c>
    </row>
    <row r="395" spans="1:6" x14ac:dyDescent="0.4">
      <c r="A395" s="6">
        <f t="shared" si="13"/>
        <v>394</v>
      </c>
      <c r="B395" s="6" t="str">
        <f t="shared" si="12"/>
        <v>Policy394</v>
      </c>
      <c r="C395" s="7" t="s">
        <v>11</v>
      </c>
      <c r="D395" s="6">
        <v>2022</v>
      </c>
      <c r="E395" s="6">
        <v>2026</v>
      </c>
      <c r="F395" s="8">
        <v>2257</v>
      </c>
    </row>
    <row r="396" spans="1:6" x14ac:dyDescent="0.4">
      <c r="A396" s="6">
        <f t="shared" si="13"/>
        <v>395</v>
      </c>
      <c r="B396" s="6" t="str">
        <f t="shared" si="12"/>
        <v>Policy395</v>
      </c>
      <c r="C396" s="7" t="s">
        <v>11</v>
      </c>
      <c r="D396" s="6">
        <v>2023</v>
      </c>
      <c r="E396" s="6">
        <v>2026</v>
      </c>
      <c r="F396" s="8">
        <v>41258</v>
      </c>
    </row>
    <row r="397" spans="1:6" x14ac:dyDescent="0.4">
      <c r="A397" s="6">
        <f t="shared" si="13"/>
        <v>396</v>
      </c>
      <c r="B397" s="6" t="str">
        <f t="shared" si="12"/>
        <v>Policy396</v>
      </c>
      <c r="C397" s="7" t="s">
        <v>11</v>
      </c>
      <c r="D397" s="6">
        <v>2024</v>
      </c>
      <c r="E397" s="6">
        <v>2025</v>
      </c>
      <c r="F397" s="8">
        <v>9342</v>
      </c>
    </row>
    <row r="398" spans="1:6" x14ac:dyDescent="0.4">
      <c r="A398" s="6">
        <f t="shared" si="13"/>
        <v>397</v>
      </c>
      <c r="B398" s="6" t="str">
        <f t="shared" si="12"/>
        <v>Policy397</v>
      </c>
      <c r="C398" s="7" t="s">
        <v>12</v>
      </c>
      <c r="D398" s="6">
        <v>2021</v>
      </c>
      <c r="E398" s="6">
        <v>2026</v>
      </c>
      <c r="F398" s="8">
        <v>1287578</v>
      </c>
    </row>
    <row r="399" spans="1:6" x14ac:dyDescent="0.4">
      <c r="A399" s="6">
        <f t="shared" si="13"/>
        <v>398</v>
      </c>
      <c r="B399" s="6" t="str">
        <f t="shared" si="12"/>
        <v>Policy398</v>
      </c>
      <c r="C399" s="7" t="s">
        <v>11</v>
      </c>
      <c r="D399" s="6">
        <v>2025</v>
      </c>
      <c r="E399" s="6">
        <v>2026</v>
      </c>
      <c r="F399" s="8">
        <v>42314</v>
      </c>
    </row>
    <row r="400" spans="1:6" x14ac:dyDescent="0.4">
      <c r="A400" s="6">
        <f t="shared" si="13"/>
        <v>399</v>
      </c>
      <c r="B400" s="6" t="str">
        <f t="shared" si="12"/>
        <v>Policy399</v>
      </c>
      <c r="C400" s="7" t="s">
        <v>11</v>
      </c>
      <c r="D400" s="6">
        <v>2022</v>
      </c>
      <c r="E400" s="6">
        <v>2023</v>
      </c>
      <c r="F400" s="8">
        <v>2955</v>
      </c>
    </row>
    <row r="401" spans="1:6" x14ac:dyDescent="0.4">
      <c r="A401" s="6">
        <f t="shared" si="13"/>
        <v>400</v>
      </c>
      <c r="B401" s="6" t="str">
        <f t="shared" si="12"/>
        <v>Policy400</v>
      </c>
      <c r="C401" s="7" t="s">
        <v>11</v>
      </c>
      <c r="D401" s="6">
        <v>2025</v>
      </c>
      <c r="E401" s="6">
        <v>2026</v>
      </c>
      <c r="F401" s="8">
        <v>31844</v>
      </c>
    </row>
    <row r="402" spans="1:6" x14ac:dyDescent="0.4">
      <c r="A402" s="6">
        <f t="shared" si="13"/>
        <v>401</v>
      </c>
      <c r="B402" s="6" t="str">
        <f t="shared" si="12"/>
        <v>Policy401</v>
      </c>
      <c r="C402" s="7" t="s">
        <v>11</v>
      </c>
      <c r="D402" s="6">
        <v>2021</v>
      </c>
      <c r="E402" s="6">
        <v>2024</v>
      </c>
      <c r="F402" s="8">
        <v>28164</v>
      </c>
    </row>
    <row r="403" spans="1:6" x14ac:dyDescent="0.4">
      <c r="A403" s="6">
        <f t="shared" si="13"/>
        <v>402</v>
      </c>
      <c r="B403" s="6" t="str">
        <f t="shared" si="12"/>
        <v>Policy402</v>
      </c>
      <c r="C403" s="7" t="s">
        <v>11</v>
      </c>
      <c r="D403" s="6">
        <v>2024</v>
      </c>
      <c r="E403" s="6">
        <v>2026</v>
      </c>
      <c r="F403" s="8">
        <v>49784</v>
      </c>
    </row>
    <row r="404" spans="1:6" x14ac:dyDescent="0.4">
      <c r="A404" s="6">
        <f t="shared" si="13"/>
        <v>403</v>
      </c>
      <c r="B404" s="6" t="str">
        <f t="shared" si="12"/>
        <v>Policy403</v>
      </c>
      <c r="C404" s="7" t="s">
        <v>12</v>
      </c>
      <c r="D404" s="6">
        <v>2023</v>
      </c>
      <c r="E404" s="6">
        <v>2024</v>
      </c>
      <c r="F404" s="8">
        <v>958831</v>
      </c>
    </row>
    <row r="405" spans="1:6" x14ac:dyDescent="0.4">
      <c r="A405" s="6">
        <f t="shared" si="13"/>
        <v>404</v>
      </c>
      <c r="B405" s="6" t="str">
        <f t="shared" si="12"/>
        <v>Policy404</v>
      </c>
      <c r="C405" s="7" t="s">
        <v>12</v>
      </c>
      <c r="D405" s="6">
        <v>2022</v>
      </c>
      <c r="E405" s="6">
        <v>2025</v>
      </c>
      <c r="F405" s="8">
        <v>3355266</v>
      </c>
    </row>
    <row r="406" spans="1:6" x14ac:dyDescent="0.4">
      <c r="A406" s="6">
        <f t="shared" si="13"/>
        <v>405</v>
      </c>
      <c r="B406" s="6" t="str">
        <f t="shared" si="12"/>
        <v>Policy405</v>
      </c>
      <c r="C406" s="7" t="s">
        <v>12</v>
      </c>
      <c r="D406" s="6">
        <v>2021</v>
      </c>
      <c r="E406" s="6">
        <v>2023</v>
      </c>
      <c r="F406" s="8">
        <v>4110013</v>
      </c>
    </row>
    <row r="407" spans="1:6" x14ac:dyDescent="0.4">
      <c r="A407" s="6">
        <f t="shared" si="13"/>
        <v>406</v>
      </c>
      <c r="B407" s="6" t="str">
        <f t="shared" si="12"/>
        <v>Policy406</v>
      </c>
      <c r="C407" s="7" t="s">
        <v>11</v>
      </c>
      <c r="D407" s="6">
        <v>2023</v>
      </c>
      <c r="E407" s="6">
        <v>2026</v>
      </c>
      <c r="F407" s="8">
        <v>48256</v>
      </c>
    </row>
    <row r="408" spans="1:6" x14ac:dyDescent="0.4">
      <c r="A408" s="6">
        <f t="shared" si="13"/>
        <v>407</v>
      </c>
      <c r="B408" s="6" t="str">
        <f t="shared" si="12"/>
        <v>Policy407</v>
      </c>
      <c r="C408" s="7" t="s">
        <v>12</v>
      </c>
      <c r="D408" s="6">
        <v>2025</v>
      </c>
      <c r="E408" s="6">
        <v>2026</v>
      </c>
      <c r="F408" s="8">
        <v>4091790</v>
      </c>
    </row>
    <row r="409" spans="1:6" x14ac:dyDescent="0.4">
      <c r="A409" s="6">
        <f t="shared" si="13"/>
        <v>408</v>
      </c>
      <c r="B409" s="6" t="str">
        <f t="shared" si="12"/>
        <v>Policy408</v>
      </c>
      <c r="C409" s="7" t="s">
        <v>12</v>
      </c>
      <c r="D409" s="6">
        <v>2023</v>
      </c>
      <c r="E409" s="6">
        <v>2026</v>
      </c>
      <c r="F409" s="8">
        <v>989198</v>
      </c>
    </row>
    <row r="410" spans="1:6" x14ac:dyDescent="0.4">
      <c r="A410" s="6">
        <f t="shared" si="13"/>
        <v>409</v>
      </c>
      <c r="B410" s="6" t="str">
        <f t="shared" si="12"/>
        <v>Policy409</v>
      </c>
      <c r="C410" s="7" t="s">
        <v>11</v>
      </c>
      <c r="D410" s="6">
        <v>2023</v>
      </c>
      <c r="E410" s="6">
        <v>2025</v>
      </c>
      <c r="F410" s="8">
        <v>1371</v>
      </c>
    </row>
    <row r="411" spans="1:6" x14ac:dyDescent="0.4">
      <c r="A411" s="6">
        <f t="shared" si="13"/>
        <v>410</v>
      </c>
      <c r="B411" s="6" t="str">
        <f t="shared" si="12"/>
        <v>Policy410</v>
      </c>
      <c r="C411" s="7" t="s">
        <v>12</v>
      </c>
      <c r="D411" s="6">
        <v>2021</v>
      </c>
      <c r="E411" s="6">
        <v>2022</v>
      </c>
      <c r="F411" s="8">
        <v>814923</v>
      </c>
    </row>
    <row r="412" spans="1:6" x14ac:dyDescent="0.4">
      <c r="A412" s="6">
        <f t="shared" si="13"/>
        <v>411</v>
      </c>
      <c r="B412" s="6" t="str">
        <f t="shared" si="12"/>
        <v>Policy411</v>
      </c>
      <c r="C412" s="7" t="s">
        <v>11</v>
      </c>
      <c r="D412" s="6">
        <v>2024</v>
      </c>
      <c r="E412" s="6">
        <v>2025</v>
      </c>
      <c r="F412" s="8">
        <v>2941</v>
      </c>
    </row>
    <row r="413" spans="1:6" x14ac:dyDescent="0.4">
      <c r="A413" s="6">
        <f t="shared" si="13"/>
        <v>412</v>
      </c>
      <c r="B413" s="6" t="str">
        <f t="shared" si="12"/>
        <v>Policy412</v>
      </c>
      <c r="C413" s="7" t="s">
        <v>12</v>
      </c>
      <c r="D413" s="6">
        <v>2022</v>
      </c>
      <c r="E413" s="6">
        <v>2025</v>
      </c>
      <c r="F413" s="8">
        <v>560177</v>
      </c>
    </row>
    <row r="414" spans="1:6" x14ac:dyDescent="0.4">
      <c r="A414" s="6">
        <f t="shared" si="13"/>
        <v>413</v>
      </c>
      <c r="B414" s="6" t="str">
        <f t="shared" si="12"/>
        <v>Policy413</v>
      </c>
      <c r="C414" s="7" t="s">
        <v>11</v>
      </c>
      <c r="D414" s="6">
        <v>2021</v>
      </c>
      <c r="E414" s="6">
        <v>2022</v>
      </c>
      <c r="F414" s="8">
        <v>28881</v>
      </c>
    </row>
    <row r="415" spans="1:6" x14ac:dyDescent="0.4">
      <c r="A415" s="6">
        <f t="shared" si="13"/>
        <v>414</v>
      </c>
      <c r="B415" s="6" t="str">
        <f t="shared" si="12"/>
        <v>Policy414</v>
      </c>
      <c r="C415" s="7" t="s">
        <v>12</v>
      </c>
      <c r="D415" s="6">
        <v>2023</v>
      </c>
      <c r="E415" s="6">
        <v>2026</v>
      </c>
      <c r="F415" s="8">
        <v>283927</v>
      </c>
    </row>
    <row r="416" spans="1:6" x14ac:dyDescent="0.4">
      <c r="A416" s="6">
        <f t="shared" si="13"/>
        <v>415</v>
      </c>
      <c r="B416" s="6" t="str">
        <f t="shared" si="12"/>
        <v>Policy415</v>
      </c>
      <c r="C416" s="7" t="s">
        <v>11</v>
      </c>
      <c r="D416" s="6">
        <v>2024</v>
      </c>
      <c r="E416" s="6">
        <v>2025</v>
      </c>
      <c r="F416" s="8">
        <v>22447</v>
      </c>
    </row>
    <row r="417" spans="1:6" x14ac:dyDescent="0.4">
      <c r="A417" s="6">
        <f t="shared" si="13"/>
        <v>416</v>
      </c>
      <c r="B417" s="6" t="str">
        <f t="shared" si="12"/>
        <v>Policy416</v>
      </c>
      <c r="C417" s="7" t="s">
        <v>12</v>
      </c>
      <c r="D417" s="6">
        <v>2024</v>
      </c>
      <c r="E417" s="6">
        <v>2026</v>
      </c>
      <c r="F417" s="8">
        <v>706080</v>
      </c>
    </row>
    <row r="418" spans="1:6" x14ac:dyDescent="0.4">
      <c r="A418" s="6">
        <f t="shared" si="13"/>
        <v>417</v>
      </c>
      <c r="B418" s="6" t="str">
        <f t="shared" si="12"/>
        <v>Policy417</v>
      </c>
      <c r="C418" s="7" t="s">
        <v>11</v>
      </c>
      <c r="D418" s="6">
        <v>2025</v>
      </c>
      <c r="E418" s="6">
        <v>2026</v>
      </c>
      <c r="F418" s="8">
        <v>29947</v>
      </c>
    </row>
    <row r="419" spans="1:6" x14ac:dyDescent="0.4">
      <c r="A419" s="6">
        <f t="shared" si="13"/>
        <v>418</v>
      </c>
      <c r="B419" s="6" t="str">
        <f t="shared" si="12"/>
        <v>Policy418</v>
      </c>
      <c r="C419" s="7" t="s">
        <v>11</v>
      </c>
      <c r="D419" s="6">
        <v>2022</v>
      </c>
      <c r="E419" s="6">
        <v>2026</v>
      </c>
      <c r="F419" s="8">
        <v>38525</v>
      </c>
    </row>
    <row r="420" spans="1:6" x14ac:dyDescent="0.4">
      <c r="A420" s="6">
        <f t="shared" si="13"/>
        <v>419</v>
      </c>
      <c r="B420" s="6" t="str">
        <f t="shared" si="12"/>
        <v>Policy419</v>
      </c>
      <c r="C420" s="7" t="s">
        <v>11</v>
      </c>
      <c r="D420" s="6">
        <v>2021</v>
      </c>
      <c r="E420" s="6">
        <v>2022</v>
      </c>
      <c r="F420" s="8">
        <v>28553</v>
      </c>
    </row>
    <row r="421" spans="1:6" x14ac:dyDescent="0.4">
      <c r="A421" s="6">
        <f t="shared" si="13"/>
        <v>420</v>
      </c>
      <c r="B421" s="6" t="str">
        <f t="shared" si="12"/>
        <v>Policy420</v>
      </c>
      <c r="C421" s="7" t="s">
        <v>12</v>
      </c>
      <c r="D421" s="6">
        <v>2024</v>
      </c>
      <c r="E421" s="6">
        <v>2025</v>
      </c>
      <c r="F421" s="8">
        <v>1921442</v>
      </c>
    </row>
    <row r="422" spans="1:6" x14ac:dyDescent="0.4">
      <c r="A422" s="6">
        <f t="shared" si="13"/>
        <v>421</v>
      </c>
      <c r="B422" s="6" t="str">
        <f t="shared" si="12"/>
        <v>Policy421</v>
      </c>
      <c r="C422" s="7" t="s">
        <v>12</v>
      </c>
      <c r="D422" s="6">
        <v>2023</v>
      </c>
      <c r="E422" s="6">
        <v>2026</v>
      </c>
      <c r="F422" s="8">
        <v>542898</v>
      </c>
    </row>
    <row r="423" spans="1:6" x14ac:dyDescent="0.4">
      <c r="A423" s="6">
        <f t="shared" si="13"/>
        <v>422</v>
      </c>
      <c r="B423" s="6" t="str">
        <f t="shared" si="12"/>
        <v>Policy422</v>
      </c>
      <c r="C423" s="7" t="s">
        <v>11</v>
      </c>
      <c r="D423" s="6">
        <v>2024</v>
      </c>
      <c r="E423" s="6">
        <v>2025</v>
      </c>
      <c r="F423" s="8">
        <v>11389</v>
      </c>
    </row>
    <row r="424" spans="1:6" x14ac:dyDescent="0.4">
      <c r="A424" s="6">
        <f t="shared" si="13"/>
        <v>423</v>
      </c>
      <c r="B424" s="6" t="str">
        <f t="shared" si="12"/>
        <v>Policy423</v>
      </c>
      <c r="C424" s="7" t="s">
        <v>11</v>
      </c>
      <c r="D424" s="6">
        <v>2022</v>
      </c>
      <c r="E424" s="6">
        <v>2025</v>
      </c>
      <c r="F424" s="8">
        <v>35520</v>
      </c>
    </row>
    <row r="425" spans="1:6" x14ac:dyDescent="0.4">
      <c r="A425" s="6">
        <f t="shared" si="13"/>
        <v>424</v>
      </c>
      <c r="B425" s="6" t="str">
        <f t="shared" si="12"/>
        <v>Policy424</v>
      </c>
      <c r="C425" s="7" t="s">
        <v>11</v>
      </c>
      <c r="D425" s="6">
        <v>2021</v>
      </c>
      <c r="E425" s="6">
        <v>2024</v>
      </c>
      <c r="F425" s="8">
        <v>21854</v>
      </c>
    </row>
    <row r="426" spans="1:6" x14ac:dyDescent="0.4">
      <c r="A426" s="6">
        <f t="shared" si="13"/>
        <v>425</v>
      </c>
      <c r="B426" s="6" t="str">
        <f t="shared" si="12"/>
        <v>Policy425</v>
      </c>
      <c r="C426" s="7" t="s">
        <v>11</v>
      </c>
      <c r="D426" s="6">
        <v>2024</v>
      </c>
      <c r="E426" s="6">
        <v>2026</v>
      </c>
      <c r="F426" s="8">
        <v>20178</v>
      </c>
    </row>
    <row r="427" spans="1:6" x14ac:dyDescent="0.4">
      <c r="A427" s="6">
        <f t="shared" si="13"/>
        <v>426</v>
      </c>
      <c r="B427" s="6" t="str">
        <f t="shared" si="12"/>
        <v>Policy426</v>
      </c>
      <c r="C427" s="7" t="s">
        <v>12</v>
      </c>
      <c r="D427" s="6">
        <v>2025</v>
      </c>
      <c r="E427" s="6">
        <v>2026</v>
      </c>
      <c r="F427" s="8">
        <v>2499691</v>
      </c>
    </row>
    <row r="428" spans="1:6" x14ac:dyDescent="0.4">
      <c r="A428" s="6">
        <f t="shared" si="13"/>
        <v>427</v>
      </c>
      <c r="B428" s="6" t="str">
        <f t="shared" si="12"/>
        <v>Policy427</v>
      </c>
      <c r="C428" s="7" t="s">
        <v>11</v>
      </c>
      <c r="D428" s="6">
        <v>2024</v>
      </c>
      <c r="E428" s="6">
        <v>2026</v>
      </c>
      <c r="F428" s="8">
        <v>8204</v>
      </c>
    </row>
    <row r="429" spans="1:6" x14ac:dyDescent="0.4">
      <c r="A429" s="6">
        <f t="shared" si="13"/>
        <v>428</v>
      </c>
      <c r="B429" s="6" t="str">
        <f t="shared" si="12"/>
        <v>Policy428</v>
      </c>
      <c r="C429" s="7" t="s">
        <v>12</v>
      </c>
      <c r="D429" s="6">
        <v>2022</v>
      </c>
      <c r="E429" s="6">
        <v>2024</v>
      </c>
      <c r="F429" s="8">
        <v>227196</v>
      </c>
    </row>
    <row r="430" spans="1:6" x14ac:dyDescent="0.4">
      <c r="A430" s="6">
        <f t="shared" si="13"/>
        <v>429</v>
      </c>
      <c r="B430" s="6" t="str">
        <f t="shared" si="12"/>
        <v>Policy429</v>
      </c>
      <c r="C430" s="7" t="s">
        <v>12</v>
      </c>
      <c r="D430" s="6">
        <v>2025</v>
      </c>
      <c r="E430" s="6">
        <v>2026</v>
      </c>
      <c r="F430" s="8">
        <v>549111</v>
      </c>
    </row>
    <row r="431" spans="1:6" x14ac:dyDescent="0.4">
      <c r="A431" s="6">
        <f t="shared" si="13"/>
        <v>430</v>
      </c>
      <c r="B431" s="6" t="str">
        <f t="shared" si="12"/>
        <v>Policy430</v>
      </c>
      <c r="C431" s="7" t="s">
        <v>11</v>
      </c>
      <c r="D431" s="6">
        <v>2022</v>
      </c>
      <c r="E431" s="6">
        <v>2024</v>
      </c>
      <c r="F431" s="8">
        <v>47438</v>
      </c>
    </row>
    <row r="432" spans="1:6" x14ac:dyDescent="0.4">
      <c r="A432" s="6">
        <f t="shared" si="13"/>
        <v>431</v>
      </c>
      <c r="B432" s="6" t="str">
        <f t="shared" si="12"/>
        <v>Policy431</v>
      </c>
      <c r="C432" s="7" t="s">
        <v>11</v>
      </c>
      <c r="D432" s="6">
        <v>2025</v>
      </c>
      <c r="E432" s="6">
        <v>2026</v>
      </c>
      <c r="F432" s="8">
        <v>29893</v>
      </c>
    </row>
    <row r="433" spans="1:6" x14ac:dyDescent="0.4">
      <c r="A433" s="6">
        <f t="shared" si="13"/>
        <v>432</v>
      </c>
      <c r="B433" s="6" t="str">
        <f t="shared" si="12"/>
        <v>Policy432</v>
      </c>
      <c r="C433" s="7" t="s">
        <v>12</v>
      </c>
      <c r="D433" s="6">
        <v>2024</v>
      </c>
      <c r="E433" s="6">
        <v>2025</v>
      </c>
      <c r="F433" s="8">
        <v>1150123</v>
      </c>
    </row>
    <row r="434" spans="1:6" x14ac:dyDescent="0.4">
      <c r="A434" s="6">
        <f t="shared" si="13"/>
        <v>433</v>
      </c>
      <c r="B434" s="6" t="str">
        <f t="shared" si="12"/>
        <v>Policy433</v>
      </c>
      <c r="C434" s="7" t="s">
        <v>12</v>
      </c>
      <c r="D434" s="6">
        <v>2024</v>
      </c>
      <c r="E434" s="6">
        <v>2026</v>
      </c>
      <c r="F434" s="8">
        <v>2628350</v>
      </c>
    </row>
    <row r="435" spans="1:6" x14ac:dyDescent="0.4">
      <c r="A435" s="6">
        <f t="shared" si="13"/>
        <v>434</v>
      </c>
      <c r="B435" s="6" t="str">
        <f t="shared" si="12"/>
        <v>Policy434</v>
      </c>
      <c r="C435" s="7" t="s">
        <v>12</v>
      </c>
      <c r="D435" s="6">
        <v>2022</v>
      </c>
      <c r="E435" s="6">
        <v>2025</v>
      </c>
      <c r="F435" s="8">
        <v>1962938</v>
      </c>
    </row>
    <row r="436" spans="1:6" x14ac:dyDescent="0.4">
      <c r="A436" s="6">
        <f t="shared" si="13"/>
        <v>435</v>
      </c>
      <c r="B436" s="6" t="str">
        <f t="shared" si="12"/>
        <v>Policy435</v>
      </c>
      <c r="C436" s="7" t="s">
        <v>12</v>
      </c>
      <c r="D436" s="6">
        <v>2023</v>
      </c>
      <c r="E436" s="6">
        <v>2024</v>
      </c>
      <c r="F436" s="8">
        <v>238550</v>
      </c>
    </row>
    <row r="437" spans="1:6" x14ac:dyDescent="0.4">
      <c r="A437" s="6">
        <f t="shared" si="13"/>
        <v>436</v>
      </c>
      <c r="B437" s="6" t="str">
        <f t="shared" si="12"/>
        <v>Policy436</v>
      </c>
      <c r="C437" s="7" t="s">
        <v>12</v>
      </c>
      <c r="D437" s="6">
        <v>2022</v>
      </c>
      <c r="E437" s="6">
        <v>2024</v>
      </c>
      <c r="F437" s="8">
        <v>672310</v>
      </c>
    </row>
    <row r="438" spans="1:6" x14ac:dyDescent="0.4">
      <c r="A438" s="6">
        <f t="shared" si="13"/>
        <v>437</v>
      </c>
      <c r="B438" s="6" t="str">
        <f t="shared" si="12"/>
        <v>Policy437</v>
      </c>
      <c r="C438" s="7" t="s">
        <v>12</v>
      </c>
      <c r="D438" s="6">
        <v>2023</v>
      </c>
      <c r="E438" s="6">
        <v>2025</v>
      </c>
      <c r="F438" s="8">
        <v>1547882</v>
      </c>
    </row>
    <row r="439" spans="1:6" x14ac:dyDescent="0.4">
      <c r="A439" s="6">
        <f t="shared" si="13"/>
        <v>438</v>
      </c>
      <c r="B439" s="6" t="str">
        <f t="shared" si="12"/>
        <v>Policy438</v>
      </c>
      <c r="C439" s="7" t="s">
        <v>12</v>
      </c>
      <c r="D439" s="6">
        <v>2024</v>
      </c>
      <c r="E439" s="6">
        <v>2026</v>
      </c>
      <c r="F439" s="8">
        <v>613697</v>
      </c>
    </row>
    <row r="440" spans="1:6" x14ac:dyDescent="0.4">
      <c r="A440" s="6">
        <f t="shared" si="13"/>
        <v>439</v>
      </c>
      <c r="B440" s="6" t="str">
        <f t="shared" si="12"/>
        <v>Policy439</v>
      </c>
      <c r="C440" s="7" t="s">
        <v>12</v>
      </c>
      <c r="D440" s="6">
        <v>2024</v>
      </c>
      <c r="E440" s="6">
        <v>2026</v>
      </c>
      <c r="F440" s="8">
        <v>1882652</v>
      </c>
    </row>
    <row r="441" spans="1:6" x14ac:dyDescent="0.4">
      <c r="A441" s="6">
        <f t="shared" si="13"/>
        <v>440</v>
      </c>
      <c r="B441" s="6" t="str">
        <f t="shared" si="12"/>
        <v>Policy440</v>
      </c>
      <c r="C441" s="7" t="s">
        <v>12</v>
      </c>
      <c r="D441" s="6">
        <v>2023</v>
      </c>
      <c r="E441" s="6">
        <v>2025</v>
      </c>
      <c r="F441" s="8">
        <v>73741</v>
      </c>
    </row>
    <row r="442" spans="1:6" x14ac:dyDescent="0.4">
      <c r="A442" s="6">
        <f t="shared" si="13"/>
        <v>441</v>
      </c>
      <c r="B442" s="6" t="str">
        <f t="shared" si="12"/>
        <v>Policy441</v>
      </c>
      <c r="C442" s="7" t="s">
        <v>12</v>
      </c>
      <c r="D442" s="6">
        <v>2024</v>
      </c>
      <c r="E442" s="6">
        <v>2025</v>
      </c>
      <c r="F442" s="8">
        <v>288651</v>
      </c>
    </row>
    <row r="443" spans="1:6" x14ac:dyDescent="0.4">
      <c r="A443" s="6">
        <f t="shared" si="13"/>
        <v>442</v>
      </c>
      <c r="B443" s="6" t="str">
        <f t="shared" si="12"/>
        <v>Policy442</v>
      </c>
      <c r="C443" s="7" t="s">
        <v>12</v>
      </c>
      <c r="D443" s="6">
        <v>2022</v>
      </c>
      <c r="E443" s="6">
        <v>2025</v>
      </c>
      <c r="F443" s="8">
        <v>2330895</v>
      </c>
    </row>
    <row r="444" spans="1:6" x14ac:dyDescent="0.4">
      <c r="A444" s="6">
        <f t="shared" si="13"/>
        <v>443</v>
      </c>
      <c r="B444" s="6" t="str">
        <f t="shared" si="12"/>
        <v>Policy443</v>
      </c>
      <c r="C444" s="7" t="s">
        <v>12</v>
      </c>
      <c r="D444" s="6">
        <v>2025</v>
      </c>
      <c r="E444" s="6">
        <v>2026</v>
      </c>
      <c r="F444" s="8">
        <v>4350657</v>
      </c>
    </row>
    <row r="445" spans="1:6" x14ac:dyDescent="0.4">
      <c r="A445" s="6">
        <f t="shared" si="13"/>
        <v>444</v>
      </c>
      <c r="B445" s="6" t="str">
        <f t="shared" si="12"/>
        <v>Policy444</v>
      </c>
      <c r="C445" s="7" t="s">
        <v>11</v>
      </c>
      <c r="D445" s="6">
        <v>2021</v>
      </c>
      <c r="E445" s="6">
        <v>2024</v>
      </c>
      <c r="F445" s="8">
        <v>4664</v>
      </c>
    </row>
    <row r="446" spans="1:6" x14ac:dyDescent="0.4">
      <c r="A446" s="6">
        <f t="shared" si="13"/>
        <v>445</v>
      </c>
      <c r="B446" s="6" t="str">
        <f t="shared" si="12"/>
        <v>Policy445</v>
      </c>
      <c r="C446" s="7" t="s">
        <v>11</v>
      </c>
      <c r="D446" s="6">
        <v>2021</v>
      </c>
      <c r="E446" s="6">
        <v>2026</v>
      </c>
      <c r="F446" s="8">
        <v>49974</v>
      </c>
    </row>
    <row r="447" spans="1:6" x14ac:dyDescent="0.4">
      <c r="A447" s="6">
        <f t="shared" si="13"/>
        <v>446</v>
      </c>
      <c r="B447" s="6" t="str">
        <f t="shared" si="12"/>
        <v>Policy446</v>
      </c>
      <c r="C447" s="7" t="s">
        <v>12</v>
      </c>
      <c r="D447" s="6">
        <v>2021</v>
      </c>
      <c r="E447" s="6">
        <v>2025</v>
      </c>
      <c r="F447" s="8">
        <v>3583599</v>
      </c>
    </row>
    <row r="448" spans="1:6" x14ac:dyDescent="0.4">
      <c r="A448" s="6">
        <f t="shared" si="13"/>
        <v>447</v>
      </c>
      <c r="B448" s="6" t="str">
        <f t="shared" si="12"/>
        <v>Policy447</v>
      </c>
      <c r="C448" s="7" t="s">
        <v>12</v>
      </c>
      <c r="D448" s="6">
        <v>2021</v>
      </c>
      <c r="E448" s="6">
        <v>2022</v>
      </c>
      <c r="F448" s="8">
        <v>381162</v>
      </c>
    </row>
    <row r="449" spans="1:6" x14ac:dyDescent="0.4">
      <c r="A449" s="6">
        <f t="shared" si="13"/>
        <v>448</v>
      </c>
      <c r="B449" s="6" t="str">
        <f t="shared" si="12"/>
        <v>Policy448</v>
      </c>
      <c r="C449" s="7" t="s">
        <v>12</v>
      </c>
      <c r="D449" s="6">
        <v>2021</v>
      </c>
      <c r="E449" s="6">
        <v>2024</v>
      </c>
      <c r="F449" s="8">
        <v>4040310</v>
      </c>
    </row>
    <row r="450" spans="1:6" x14ac:dyDescent="0.4">
      <c r="A450" s="6">
        <f t="shared" si="13"/>
        <v>449</v>
      </c>
      <c r="B450" s="6" t="str">
        <f t="shared" si="12"/>
        <v>Policy449</v>
      </c>
      <c r="C450" s="7" t="s">
        <v>11</v>
      </c>
      <c r="D450" s="6">
        <v>2022</v>
      </c>
      <c r="E450" s="6">
        <v>2025</v>
      </c>
      <c r="F450" s="8">
        <v>48128</v>
      </c>
    </row>
    <row r="451" spans="1:6" x14ac:dyDescent="0.4">
      <c r="A451" s="6">
        <f t="shared" si="13"/>
        <v>450</v>
      </c>
      <c r="B451" s="6" t="str">
        <f t="shared" ref="B451:B514" si="14">"Policy"&amp;A451</f>
        <v>Policy450</v>
      </c>
      <c r="C451" s="7" t="s">
        <v>12</v>
      </c>
      <c r="D451" s="6">
        <v>2024</v>
      </c>
      <c r="E451" s="6">
        <v>2026</v>
      </c>
      <c r="F451" s="8">
        <v>21951</v>
      </c>
    </row>
    <row r="452" spans="1:6" x14ac:dyDescent="0.4">
      <c r="A452" s="6">
        <f t="shared" ref="A452:A515" si="15">A451+1</f>
        <v>451</v>
      </c>
      <c r="B452" s="6" t="str">
        <f t="shared" si="14"/>
        <v>Policy451</v>
      </c>
      <c r="C452" s="7" t="s">
        <v>12</v>
      </c>
      <c r="D452" s="6">
        <v>2022</v>
      </c>
      <c r="E452" s="6">
        <v>2024</v>
      </c>
      <c r="F452" s="8">
        <v>1118418</v>
      </c>
    </row>
    <row r="453" spans="1:6" x14ac:dyDescent="0.4">
      <c r="A453" s="6">
        <f t="shared" si="15"/>
        <v>452</v>
      </c>
      <c r="B453" s="6" t="str">
        <f t="shared" si="14"/>
        <v>Policy452</v>
      </c>
      <c r="C453" s="7" t="s">
        <v>12</v>
      </c>
      <c r="D453" s="6">
        <v>2025</v>
      </c>
      <c r="E453" s="6">
        <v>2026</v>
      </c>
      <c r="F453" s="8">
        <v>3152090</v>
      </c>
    </row>
    <row r="454" spans="1:6" x14ac:dyDescent="0.4">
      <c r="A454" s="6">
        <f t="shared" si="15"/>
        <v>453</v>
      </c>
      <c r="B454" s="6" t="str">
        <f t="shared" si="14"/>
        <v>Policy453</v>
      </c>
      <c r="C454" s="7" t="s">
        <v>12</v>
      </c>
      <c r="D454" s="6">
        <v>2023</v>
      </c>
      <c r="E454" s="6">
        <v>2024</v>
      </c>
      <c r="F454" s="8">
        <v>509250</v>
      </c>
    </row>
    <row r="455" spans="1:6" x14ac:dyDescent="0.4">
      <c r="A455" s="6">
        <f t="shared" si="15"/>
        <v>454</v>
      </c>
      <c r="B455" s="6" t="str">
        <f t="shared" si="14"/>
        <v>Policy454</v>
      </c>
      <c r="C455" s="7" t="s">
        <v>11</v>
      </c>
      <c r="D455" s="6">
        <v>2023</v>
      </c>
      <c r="E455" s="6">
        <v>2024</v>
      </c>
      <c r="F455" s="8">
        <v>30313</v>
      </c>
    </row>
    <row r="456" spans="1:6" x14ac:dyDescent="0.4">
      <c r="A456" s="6">
        <f t="shared" si="15"/>
        <v>455</v>
      </c>
      <c r="B456" s="6" t="str">
        <f t="shared" si="14"/>
        <v>Policy455</v>
      </c>
      <c r="C456" s="7" t="s">
        <v>12</v>
      </c>
      <c r="D456" s="6">
        <v>2024</v>
      </c>
      <c r="E456" s="6">
        <v>2025</v>
      </c>
      <c r="F456" s="8">
        <v>4397018</v>
      </c>
    </row>
    <row r="457" spans="1:6" x14ac:dyDescent="0.4">
      <c r="A457" s="6">
        <f t="shared" si="15"/>
        <v>456</v>
      </c>
      <c r="B457" s="6" t="str">
        <f t="shared" si="14"/>
        <v>Policy456</v>
      </c>
      <c r="C457" s="7" t="s">
        <v>11</v>
      </c>
      <c r="D457" s="6">
        <v>2023</v>
      </c>
      <c r="E457" s="6">
        <v>2024</v>
      </c>
      <c r="F457" s="8">
        <v>15445</v>
      </c>
    </row>
    <row r="458" spans="1:6" x14ac:dyDescent="0.4">
      <c r="A458" s="6">
        <f t="shared" si="15"/>
        <v>457</v>
      </c>
      <c r="B458" s="6" t="str">
        <f t="shared" si="14"/>
        <v>Policy457</v>
      </c>
      <c r="C458" s="7" t="s">
        <v>12</v>
      </c>
      <c r="D458" s="6">
        <v>2022</v>
      </c>
      <c r="E458" s="6">
        <v>2025</v>
      </c>
      <c r="F458" s="8">
        <v>163130</v>
      </c>
    </row>
    <row r="459" spans="1:6" x14ac:dyDescent="0.4">
      <c r="A459" s="6">
        <f t="shared" si="15"/>
        <v>458</v>
      </c>
      <c r="B459" s="6" t="str">
        <f t="shared" si="14"/>
        <v>Policy458</v>
      </c>
      <c r="C459" s="7" t="s">
        <v>12</v>
      </c>
      <c r="D459" s="6">
        <v>2024</v>
      </c>
      <c r="E459" s="6">
        <v>2025</v>
      </c>
      <c r="F459" s="8">
        <v>564241</v>
      </c>
    </row>
    <row r="460" spans="1:6" x14ac:dyDescent="0.4">
      <c r="A460" s="6">
        <f t="shared" si="15"/>
        <v>459</v>
      </c>
      <c r="B460" s="6" t="str">
        <f t="shared" si="14"/>
        <v>Policy459</v>
      </c>
      <c r="C460" s="7" t="s">
        <v>11</v>
      </c>
      <c r="D460" s="6">
        <v>2024</v>
      </c>
      <c r="E460" s="6">
        <v>2026</v>
      </c>
      <c r="F460" s="8">
        <v>30280</v>
      </c>
    </row>
    <row r="461" spans="1:6" x14ac:dyDescent="0.4">
      <c r="A461" s="6">
        <f t="shared" si="15"/>
        <v>460</v>
      </c>
      <c r="B461" s="6" t="str">
        <f t="shared" si="14"/>
        <v>Policy460</v>
      </c>
      <c r="C461" s="7" t="s">
        <v>11</v>
      </c>
      <c r="D461" s="6">
        <v>2021</v>
      </c>
      <c r="E461" s="6">
        <v>2022</v>
      </c>
      <c r="F461" s="8">
        <v>49422</v>
      </c>
    </row>
    <row r="462" spans="1:6" x14ac:dyDescent="0.4">
      <c r="A462" s="6">
        <f t="shared" si="15"/>
        <v>461</v>
      </c>
      <c r="B462" s="6" t="str">
        <f t="shared" si="14"/>
        <v>Policy461</v>
      </c>
      <c r="C462" s="7" t="s">
        <v>11</v>
      </c>
      <c r="D462" s="6">
        <v>2021</v>
      </c>
      <c r="E462" s="6">
        <v>2025</v>
      </c>
      <c r="F462" s="8">
        <v>30496</v>
      </c>
    </row>
    <row r="463" spans="1:6" x14ac:dyDescent="0.4">
      <c r="A463" s="6">
        <f t="shared" si="15"/>
        <v>462</v>
      </c>
      <c r="B463" s="6" t="str">
        <f t="shared" si="14"/>
        <v>Policy462</v>
      </c>
      <c r="C463" s="7" t="s">
        <v>12</v>
      </c>
      <c r="D463" s="6">
        <v>2022</v>
      </c>
      <c r="E463" s="6">
        <v>2026</v>
      </c>
      <c r="F463" s="8">
        <v>3718840</v>
      </c>
    </row>
    <row r="464" spans="1:6" x14ac:dyDescent="0.4">
      <c r="A464" s="6">
        <f t="shared" si="15"/>
        <v>463</v>
      </c>
      <c r="B464" s="6" t="str">
        <f t="shared" si="14"/>
        <v>Policy463</v>
      </c>
      <c r="C464" s="7" t="s">
        <v>11</v>
      </c>
      <c r="D464" s="6">
        <v>2025</v>
      </c>
      <c r="E464" s="6">
        <v>2026</v>
      </c>
      <c r="F464" s="8">
        <v>41431</v>
      </c>
    </row>
    <row r="465" spans="1:6" x14ac:dyDescent="0.4">
      <c r="A465" s="6">
        <f t="shared" si="15"/>
        <v>464</v>
      </c>
      <c r="B465" s="6" t="str">
        <f t="shared" si="14"/>
        <v>Policy464</v>
      </c>
      <c r="C465" s="7" t="s">
        <v>12</v>
      </c>
      <c r="D465" s="6">
        <v>2021</v>
      </c>
      <c r="E465" s="6">
        <v>2023</v>
      </c>
      <c r="F465" s="8">
        <v>1947912</v>
      </c>
    </row>
    <row r="466" spans="1:6" x14ac:dyDescent="0.4">
      <c r="A466" s="6">
        <f t="shared" si="15"/>
        <v>465</v>
      </c>
      <c r="B466" s="6" t="str">
        <f t="shared" si="14"/>
        <v>Policy465</v>
      </c>
      <c r="C466" s="7" t="s">
        <v>11</v>
      </c>
      <c r="D466" s="6">
        <v>2025</v>
      </c>
      <c r="E466" s="6">
        <v>2026</v>
      </c>
      <c r="F466" s="8">
        <v>40840</v>
      </c>
    </row>
    <row r="467" spans="1:6" x14ac:dyDescent="0.4">
      <c r="A467" s="6">
        <f t="shared" si="15"/>
        <v>466</v>
      </c>
      <c r="B467" s="6" t="str">
        <f t="shared" si="14"/>
        <v>Policy466</v>
      </c>
      <c r="C467" s="7" t="s">
        <v>12</v>
      </c>
      <c r="D467" s="6">
        <v>2024</v>
      </c>
      <c r="E467" s="6">
        <v>2026</v>
      </c>
      <c r="F467" s="8">
        <v>4942622</v>
      </c>
    </row>
    <row r="468" spans="1:6" x14ac:dyDescent="0.4">
      <c r="A468" s="6">
        <f t="shared" si="15"/>
        <v>467</v>
      </c>
      <c r="B468" s="6" t="str">
        <f t="shared" si="14"/>
        <v>Policy467</v>
      </c>
      <c r="C468" s="7" t="s">
        <v>11</v>
      </c>
      <c r="D468" s="6">
        <v>2021</v>
      </c>
      <c r="E468" s="6">
        <v>2024</v>
      </c>
      <c r="F468" s="8">
        <v>31245</v>
      </c>
    </row>
    <row r="469" spans="1:6" x14ac:dyDescent="0.4">
      <c r="A469" s="6">
        <f t="shared" si="15"/>
        <v>468</v>
      </c>
      <c r="B469" s="6" t="str">
        <f t="shared" si="14"/>
        <v>Policy468</v>
      </c>
      <c r="C469" s="7" t="s">
        <v>11</v>
      </c>
      <c r="D469" s="6">
        <v>2024</v>
      </c>
      <c r="E469" s="6">
        <v>2025</v>
      </c>
      <c r="F469" s="8">
        <v>16275</v>
      </c>
    </row>
    <row r="470" spans="1:6" x14ac:dyDescent="0.4">
      <c r="A470" s="6">
        <f t="shared" si="15"/>
        <v>469</v>
      </c>
      <c r="B470" s="6" t="str">
        <f t="shared" si="14"/>
        <v>Policy469</v>
      </c>
      <c r="C470" s="7" t="s">
        <v>12</v>
      </c>
      <c r="D470" s="6">
        <v>2023</v>
      </c>
      <c r="E470" s="6">
        <v>2024</v>
      </c>
      <c r="F470" s="8">
        <v>1730119</v>
      </c>
    </row>
    <row r="471" spans="1:6" x14ac:dyDescent="0.4">
      <c r="A471" s="6">
        <f t="shared" si="15"/>
        <v>470</v>
      </c>
      <c r="B471" s="6" t="str">
        <f t="shared" si="14"/>
        <v>Policy470</v>
      </c>
      <c r="C471" s="7" t="s">
        <v>11</v>
      </c>
      <c r="D471" s="6">
        <v>2025</v>
      </c>
      <c r="E471" s="6">
        <v>2026</v>
      </c>
      <c r="F471" s="8">
        <v>14666</v>
      </c>
    </row>
    <row r="472" spans="1:6" x14ac:dyDescent="0.4">
      <c r="A472" s="6">
        <f t="shared" si="15"/>
        <v>471</v>
      </c>
      <c r="B472" s="6" t="str">
        <f t="shared" si="14"/>
        <v>Policy471</v>
      </c>
      <c r="C472" s="7" t="s">
        <v>11</v>
      </c>
      <c r="D472" s="6">
        <v>2024</v>
      </c>
      <c r="E472" s="6">
        <v>2025</v>
      </c>
      <c r="F472" s="8">
        <v>25726</v>
      </c>
    </row>
    <row r="473" spans="1:6" x14ac:dyDescent="0.4">
      <c r="A473" s="6">
        <f t="shared" si="15"/>
        <v>472</v>
      </c>
      <c r="B473" s="6" t="str">
        <f t="shared" si="14"/>
        <v>Policy472</v>
      </c>
      <c r="C473" s="7" t="s">
        <v>11</v>
      </c>
      <c r="D473" s="6">
        <v>2024</v>
      </c>
      <c r="E473" s="6">
        <v>2026</v>
      </c>
      <c r="F473" s="8">
        <v>30878</v>
      </c>
    </row>
    <row r="474" spans="1:6" x14ac:dyDescent="0.4">
      <c r="A474" s="6">
        <f t="shared" si="15"/>
        <v>473</v>
      </c>
      <c r="B474" s="6" t="str">
        <f t="shared" si="14"/>
        <v>Policy473</v>
      </c>
      <c r="C474" s="7" t="s">
        <v>12</v>
      </c>
      <c r="D474" s="6">
        <v>2024</v>
      </c>
      <c r="E474" s="6">
        <v>2025</v>
      </c>
      <c r="F474" s="8">
        <v>1772022</v>
      </c>
    </row>
    <row r="475" spans="1:6" x14ac:dyDescent="0.4">
      <c r="A475" s="6">
        <f t="shared" si="15"/>
        <v>474</v>
      </c>
      <c r="B475" s="6" t="str">
        <f t="shared" si="14"/>
        <v>Policy474</v>
      </c>
      <c r="C475" s="7" t="s">
        <v>12</v>
      </c>
      <c r="D475" s="6">
        <v>2024</v>
      </c>
      <c r="E475" s="6">
        <v>2026</v>
      </c>
      <c r="F475" s="8">
        <v>4019253</v>
      </c>
    </row>
    <row r="476" spans="1:6" x14ac:dyDescent="0.4">
      <c r="A476" s="6">
        <f t="shared" si="15"/>
        <v>475</v>
      </c>
      <c r="B476" s="6" t="str">
        <f t="shared" si="14"/>
        <v>Policy475</v>
      </c>
      <c r="C476" s="7" t="s">
        <v>12</v>
      </c>
      <c r="D476" s="6">
        <v>2025</v>
      </c>
      <c r="E476" s="6">
        <v>2026</v>
      </c>
      <c r="F476" s="8">
        <v>4993758</v>
      </c>
    </row>
    <row r="477" spans="1:6" x14ac:dyDescent="0.4">
      <c r="A477" s="6">
        <f t="shared" si="15"/>
        <v>476</v>
      </c>
      <c r="B477" s="6" t="str">
        <f t="shared" si="14"/>
        <v>Policy476</v>
      </c>
      <c r="C477" s="7" t="s">
        <v>12</v>
      </c>
      <c r="D477" s="6">
        <v>2025</v>
      </c>
      <c r="E477" s="6">
        <v>2026</v>
      </c>
      <c r="F477" s="8">
        <v>4138064</v>
      </c>
    </row>
    <row r="478" spans="1:6" x14ac:dyDescent="0.4">
      <c r="A478" s="6">
        <f t="shared" si="15"/>
        <v>477</v>
      </c>
      <c r="B478" s="6" t="str">
        <f t="shared" si="14"/>
        <v>Policy477</v>
      </c>
      <c r="C478" s="7" t="s">
        <v>12</v>
      </c>
      <c r="D478" s="6">
        <v>2021</v>
      </c>
      <c r="E478" s="6">
        <v>2026</v>
      </c>
      <c r="F478" s="8">
        <v>2876237</v>
      </c>
    </row>
    <row r="479" spans="1:6" x14ac:dyDescent="0.4">
      <c r="A479" s="6">
        <f t="shared" si="15"/>
        <v>478</v>
      </c>
      <c r="B479" s="6" t="str">
        <f t="shared" si="14"/>
        <v>Policy478</v>
      </c>
      <c r="C479" s="7" t="s">
        <v>12</v>
      </c>
      <c r="D479" s="6">
        <v>2024</v>
      </c>
      <c r="E479" s="6">
        <v>2025</v>
      </c>
      <c r="F479" s="8">
        <v>4382726</v>
      </c>
    </row>
    <row r="480" spans="1:6" x14ac:dyDescent="0.4">
      <c r="A480" s="6">
        <f t="shared" si="15"/>
        <v>479</v>
      </c>
      <c r="B480" s="6" t="str">
        <f t="shared" si="14"/>
        <v>Policy479</v>
      </c>
      <c r="C480" s="7" t="s">
        <v>12</v>
      </c>
      <c r="D480" s="6">
        <v>2021</v>
      </c>
      <c r="E480" s="6">
        <v>2022</v>
      </c>
      <c r="F480" s="8">
        <v>3063785</v>
      </c>
    </row>
    <row r="481" spans="1:6" x14ac:dyDescent="0.4">
      <c r="A481" s="6">
        <f t="shared" si="15"/>
        <v>480</v>
      </c>
      <c r="B481" s="6" t="str">
        <f t="shared" si="14"/>
        <v>Policy480</v>
      </c>
      <c r="C481" s="7" t="s">
        <v>12</v>
      </c>
      <c r="D481" s="6">
        <v>2025</v>
      </c>
      <c r="E481" s="6">
        <v>2026</v>
      </c>
      <c r="F481" s="8">
        <v>871157</v>
      </c>
    </row>
    <row r="482" spans="1:6" x14ac:dyDescent="0.4">
      <c r="A482" s="6">
        <f t="shared" si="15"/>
        <v>481</v>
      </c>
      <c r="B482" s="6" t="str">
        <f t="shared" si="14"/>
        <v>Policy481</v>
      </c>
      <c r="C482" s="7" t="s">
        <v>11</v>
      </c>
      <c r="D482" s="6">
        <v>2022</v>
      </c>
      <c r="E482" s="6">
        <v>2025</v>
      </c>
      <c r="F482" s="8">
        <v>47657</v>
      </c>
    </row>
    <row r="483" spans="1:6" x14ac:dyDescent="0.4">
      <c r="A483" s="6">
        <f t="shared" si="15"/>
        <v>482</v>
      </c>
      <c r="B483" s="6" t="str">
        <f t="shared" si="14"/>
        <v>Policy482</v>
      </c>
      <c r="C483" s="7" t="s">
        <v>12</v>
      </c>
      <c r="D483" s="6">
        <v>2023</v>
      </c>
      <c r="E483" s="6">
        <v>2025</v>
      </c>
      <c r="F483" s="8">
        <v>4457174</v>
      </c>
    </row>
    <row r="484" spans="1:6" x14ac:dyDescent="0.4">
      <c r="A484" s="6">
        <f t="shared" si="15"/>
        <v>483</v>
      </c>
      <c r="B484" s="6" t="str">
        <f t="shared" si="14"/>
        <v>Policy483</v>
      </c>
      <c r="C484" s="7" t="s">
        <v>11</v>
      </c>
      <c r="D484" s="6">
        <v>2021</v>
      </c>
      <c r="E484" s="6">
        <v>2026</v>
      </c>
      <c r="F484" s="8">
        <v>18255</v>
      </c>
    </row>
    <row r="485" spans="1:6" x14ac:dyDescent="0.4">
      <c r="A485" s="6">
        <f t="shared" si="15"/>
        <v>484</v>
      </c>
      <c r="B485" s="6" t="str">
        <f t="shared" si="14"/>
        <v>Policy484</v>
      </c>
      <c r="C485" s="7" t="s">
        <v>11</v>
      </c>
      <c r="D485" s="6">
        <v>2021</v>
      </c>
      <c r="E485" s="6">
        <v>2022</v>
      </c>
      <c r="F485" s="8">
        <v>6941</v>
      </c>
    </row>
    <row r="486" spans="1:6" x14ac:dyDescent="0.4">
      <c r="A486" s="6">
        <f t="shared" si="15"/>
        <v>485</v>
      </c>
      <c r="B486" s="6" t="str">
        <f t="shared" si="14"/>
        <v>Policy485</v>
      </c>
      <c r="C486" s="7" t="s">
        <v>12</v>
      </c>
      <c r="D486" s="6">
        <v>2021</v>
      </c>
      <c r="E486" s="6">
        <v>2024</v>
      </c>
      <c r="F486" s="8">
        <v>1812133</v>
      </c>
    </row>
    <row r="487" spans="1:6" x14ac:dyDescent="0.4">
      <c r="A487" s="6">
        <f t="shared" si="15"/>
        <v>486</v>
      </c>
      <c r="B487" s="6" t="str">
        <f t="shared" si="14"/>
        <v>Policy486</v>
      </c>
      <c r="C487" s="7" t="s">
        <v>12</v>
      </c>
      <c r="D487" s="6">
        <v>2025</v>
      </c>
      <c r="E487" s="6">
        <v>2026</v>
      </c>
      <c r="F487" s="8">
        <v>1516164</v>
      </c>
    </row>
    <row r="488" spans="1:6" x14ac:dyDescent="0.4">
      <c r="A488" s="6">
        <f t="shared" si="15"/>
        <v>487</v>
      </c>
      <c r="B488" s="6" t="str">
        <f t="shared" si="14"/>
        <v>Policy487</v>
      </c>
      <c r="C488" s="7" t="s">
        <v>11</v>
      </c>
      <c r="D488" s="6">
        <v>2022</v>
      </c>
      <c r="E488" s="6">
        <v>2026</v>
      </c>
      <c r="F488" s="8">
        <v>37397</v>
      </c>
    </row>
    <row r="489" spans="1:6" x14ac:dyDescent="0.4">
      <c r="A489" s="6">
        <f t="shared" si="15"/>
        <v>488</v>
      </c>
      <c r="B489" s="6" t="str">
        <f t="shared" si="14"/>
        <v>Policy488</v>
      </c>
      <c r="C489" s="7" t="s">
        <v>11</v>
      </c>
      <c r="D489" s="6">
        <v>2022</v>
      </c>
      <c r="E489" s="6">
        <v>2025</v>
      </c>
      <c r="F489" s="8">
        <v>34569</v>
      </c>
    </row>
    <row r="490" spans="1:6" x14ac:dyDescent="0.4">
      <c r="A490" s="6">
        <f t="shared" si="15"/>
        <v>489</v>
      </c>
      <c r="B490" s="6" t="str">
        <f t="shared" si="14"/>
        <v>Policy489</v>
      </c>
      <c r="C490" s="7" t="s">
        <v>11</v>
      </c>
      <c r="D490" s="6">
        <v>2021</v>
      </c>
      <c r="E490" s="6">
        <v>2023</v>
      </c>
      <c r="F490" s="8">
        <v>2331</v>
      </c>
    </row>
    <row r="491" spans="1:6" x14ac:dyDescent="0.4">
      <c r="A491" s="6">
        <f t="shared" si="15"/>
        <v>490</v>
      </c>
      <c r="B491" s="6" t="str">
        <f t="shared" si="14"/>
        <v>Policy490</v>
      </c>
      <c r="C491" s="7" t="s">
        <v>11</v>
      </c>
      <c r="D491" s="6">
        <v>2023</v>
      </c>
      <c r="E491" s="6">
        <v>2024</v>
      </c>
      <c r="F491" s="8">
        <v>7985</v>
      </c>
    </row>
    <row r="492" spans="1:6" x14ac:dyDescent="0.4">
      <c r="A492" s="6">
        <f t="shared" si="15"/>
        <v>491</v>
      </c>
      <c r="B492" s="6" t="str">
        <f t="shared" si="14"/>
        <v>Policy491</v>
      </c>
      <c r="C492" s="7" t="s">
        <v>11</v>
      </c>
      <c r="D492" s="6">
        <v>2021</v>
      </c>
      <c r="E492" s="6">
        <v>2026</v>
      </c>
      <c r="F492" s="8">
        <v>9673</v>
      </c>
    </row>
    <row r="493" spans="1:6" x14ac:dyDescent="0.4">
      <c r="A493" s="6">
        <f t="shared" si="15"/>
        <v>492</v>
      </c>
      <c r="B493" s="6" t="str">
        <f t="shared" si="14"/>
        <v>Policy492</v>
      </c>
      <c r="C493" s="7" t="s">
        <v>12</v>
      </c>
      <c r="D493" s="6">
        <v>2023</v>
      </c>
      <c r="E493" s="6">
        <v>2026</v>
      </c>
      <c r="F493" s="8">
        <v>4888649</v>
      </c>
    </row>
    <row r="494" spans="1:6" x14ac:dyDescent="0.4">
      <c r="A494" s="6">
        <f t="shared" si="15"/>
        <v>493</v>
      </c>
      <c r="B494" s="6" t="str">
        <f t="shared" si="14"/>
        <v>Policy493</v>
      </c>
      <c r="C494" s="7" t="s">
        <v>12</v>
      </c>
      <c r="D494" s="6">
        <v>2021</v>
      </c>
      <c r="E494" s="6">
        <v>2023</v>
      </c>
      <c r="F494" s="8">
        <v>4901871</v>
      </c>
    </row>
    <row r="495" spans="1:6" x14ac:dyDescent="0.4">
      <c r="A495" s="6">
        <f t="shared" si="15"/>
        <v>494</v>
      </c>
      <c r="B495" s="6" t="str">
        <f t="shared" si="14"/>
        <v>Policy494</v>
      </c>
      <c r="C495" s="7" t="s">
        <v>11</v>
      </c>
      <c r="D495" s="6">
        <v>2022</v>
      </c>
      <c r="E495" s="6">
        <v>2026</v>
      </c>
      <c r="F495" s="8">
        <v>33730</v>
      </c>
    </row>
    <row r="496" spans="1:6" x14ac:dyDescent="0.4">
      <c r="A496" s="6">
        <f t="shared" si="15"/>
        <v>495</v>
      </c>
      <c r="B496" s="6" t="str">
        <f t="shared" si="14"/>
        <v>Policy495</v>
      </c>
      <c r="C496" s="7" t="s">
        <v>11</v>
      </c>
      <c r="D496" s="6">
        <v>2025</v>
      </c>
      <c r="E496" s="6">
        <v>2026</v>
      </c>
      <c r="F496" s="8">
        <v>49291</v>
      </c>
    </row>
    <row r="497" spans="1:6" x14ac:dyDescent="0.4">
      <c r="A497" s="6">
        <f t="shared" si="15"/>
        <v>496</v>
      </c>
      <c r="B497" s="6" t="str">
        <f t="shared" si="14"/>
        <v>Policy496</v>
      </c>
      <c r="C497" s="7" t="s">
        <v>12</v>
      </c>
      <c r="D497" s="6">
        <v>2025</v>
      </c>
      <c r="E497" s="6">
        <v>2026</v>
      </c>
      <c r="F497" s="8">
        <v>4569160</v>
      </c>
    </row>
    <row r="498" spans="1:6" x14ac:dyDescent="0.4">
      <c r="A498" s="6">
        <f t="shared" si="15"/>
        <v>497</v>
      </c>
      <c r="B498" s="6" t="str">
        <f t="shared" si="14"/>
        <v>Policy497</v>
      </c>
      <c r="C498" s="7" t="s">
        <v>11</v>
      </c>
      <c r="D498" s="6">
        <v>2024</v>
      </c>
      <c r="E498" s="6">
        <v>2025</v>
      </c>
      <c r="F498" s="8">
        <v>36153</v>
      </c>
    </row>
    <row r="499" spans="1:6" x14ac:dyDescent="0.4">
      <c r="A499" s="6">
        <f t="shared" si="15"/>
        <v>498</v>
      </c>
      <c r="B499" s="6" t="str">
        <f t="shared" si="14"/>
        <v>Policy498</v>
      </c>
      <c r="C499" s="7" t="s">
        <v>11</v>
      </c>
      <c r="D499" s="6">
        <v>2024</v>
      </c>
      <c r="E499" s="6">
        <v>2026</v>
      </c>
      <c r="F499" s="8">
        <v>30239</v>
      </c>
    </row>
    <row r="500" spans="1:6" x14ac:dyDescent="0.4">
      <c r="A500" s="6">
        <f t="shared" si="15"/>
        <v>499</v>
      </c>
      <c r="B500" s="6" t="str">
        <f t="shared" si="14"/>
        <v>Policy499</v>
      </c>
      <c r="C500" s="7" t="s">
        <v>12</v>
      </c>
      <c r="D500" s="6">
        <v>2022</v>
      </c>
      <c r="E500" s="6">
        <v>2024</v>
      </c>
      <c r="F500" s="8">
        <v>1682947</v>
      </c>
    </row>
    <row r="501" spans="1:6" x14ac:dyDescent="0.4">
      <c r="A501" s="6">
        <f t="shared" si="15"/>
        <v>500</v>
      </c>
      <c r="B501" s="6" t="str">
        <f t="shared" si="14"/>
        <v>Policy500</v>
      </c>
      <c r="C501" s="7" t="s">
        <v>12</v>
      </c>
      <c r="D501" s="6">
        <v>2023</v>
      </c>
      <c r="E501" s="6">
        <v>2025</v>
      </c>
      <c r="F501" s="8">
        <v>4377745</v>
      </c>
    </row>
    <row r="502" spans="1:6" x14ac:dyDescent="0.4">
      <c r="A502" s="6">
        <f t="shared" si="15"/>
        <v>501</v>
      </c>
      <c r="B502" s="6" t="str">
        <f t="shared" si="14"/>
        <v>Policy501</v>
      </c>
      <c r="C502" s="7" t="s">
        <v>12</v>
      </c>
      <c r="D502" s="6">
        <v>2023</v>
      </c>
      <c r="E502" s="6">
        <v>2026</v>
      </c>
      <c r="F502" s="8">
        <v>497418</v>
      </c>
    </row>
    <row r="503" spans="1:6" x14ac:dyDescent="0.4">
      <c r="A503" s="6">
        <f t="shared" si="15"/>
        <v>502</v>
      </c>
      <c r="B503" s="6" t="str">
        <f t="shared" si="14"/>
        <v>Policy502</v>
      </c>
      <c r="C503" s="7" t="s">
        <v>12</v>
      </c>
      <c r="D503" s="6">
        <v>2021</v>
      </c>
      <c r="E503" s="6">
        <v>2026</v>
      </c>
      <c r="F503" s="8">
        <v>2672116</v>
      </c>
    </row>
    <row r="504" spans="1:6" x14ac:dyDescent="0.4">
      <c r="A504" s="6">
        <f t="shared" si="15"/>
        <v>503</v>
      </c>
      <c r="B504" s="6" t="str">
        <f t="shared" si="14"/>
        <v>Policy503</v>
      </c>
      <c r="C504" s="7" t="s">
        <v>12</v>
      </c>
      <c r="D504" s="6">
        <v>2024</v>
      </c>
      <c r="E504" s="6">
        <v>2026</v>
      </c>
      <c r="F504" s="8">
        <v>4842920</v>
      </c>
    </row>
    <row r="505" spans="1:6" x14ac:dyDescent="0.4">
      <c r="A505" s="6">
        <f t="shared" si="15"/>
        <v>504</v>
      </c>
      <c r="B505" s="6" t="str">
        <f t="shared" si="14"/>
        <v>Policy504</v>
      </c>
      <c r="C505" s="7" t="s">
        <v>11</v>
      </c>
      <c r="D505" s="6">
        <v>2023</v>
      </c>
      <c r="E505" s="6">
        <v>2026</v>
      </c>
      <c r="F505" s="8">
        <v>12870</v>
      </c>
    </row>
    <row r="506" spans="1:6" x14ac:dyDescent="0.4">
      <c r="A506" s="6">
        <f t="shared" si="15"/>
        <v>505</v>
      </c>
      <c r="B506" s="6" t="str">
        <f t="shared" si="14"/>
        <v>Policy505</v>
      </c>
      <c r="C506" s="7" t="s">
        <v>12</v>
      </c>
      <c r="D506" s="6">
        <v>2021</v>
      </c>
      <c r="E506" s="6">
        <v>2024</v>
      </c>
      <c r="F506" s="8">
        <v>302437</v>
      </c>
    </row>
    <row r="507" spans="1:6" x14ac:dyDescent="0.4">
      <c r="A507" s="6">
        <f t="shared" si="15"/>
        <v>506</v>
      </c>
      <c r="B507" s="6" t="str">
        <f t="shared" si="14"/>
        <v>Policy506</v>
      </c>
      <c r="C507" s="7" t="s">
        <v>12</v>
      </c>
      <c r="D507" s="6">
        <v>2025</v>
      </c>
      <c r="E507" s="6">
        <v>2026</v>
      </c>
      <c r="F507" s="8">
        <v>1846684</v>
      </c>
    </row>
    <row r="508" spans="1:6" x14ac:dyDescent="0.4">
      <c r="A508" s="6">
        <f t="shared" si="15"/>
        <v>507</v>
      </c>
      <c r="B508" s="6" t="str">
        <f t="shared" si="14"/>
        <v>Policy507</v>
      </c>
      <c r="C508" s="7" t="s">
        <v>12</v>
      </c>
      <c r="D508" s="6">
        <v>2025</v>
      </c>
      <c r="E508" s="6">
        <v>2026</v>
      </c>
      <c r="F508" s="8">
        <v>2447473</v>
      </c>
    </row>
    <row r="509" spans="1:6" x14ac:dyDescent="0.4">
      <c r="A509" s="6">
        <f t="shared" si="15"/>
        <v>508</v>
      </c>
      <c r="B509" s="6" t="str">
        <f t="shared" si="14"/>
        <v>Policy508</v>
      </c>
      <c r="C509" s="7" t="s">
        <v>12</v>
      </c>
      <c r="D509" s="6">
        <v>2022</v>
      </c>
      <c r="E509" s="6">
        <v>2024</v>
      </c>
      <c r="F509" s="8">
        <v>93645</v>
      </c>
    </row>
    <row r="510" spans="1:6" x14ac:dyDescent="0.4">
      <c r="A510" s="6">
        <f t="shared" si="15"/>
        <v>509</v>
      </c>
      <c r="B510" s="6" t="str">
        <f t="shared" si="14"/>
        <v>Policy509</v>
      </c>
      <c r="C510" s="7" t="s">
        <v>12</v>
      </c>
      <c r="D510" s="6">
        <v>2025</v>
      </c>
      <c r="E510" s="6">
        <v>2026</v>
      </c>
      <c r="F510" s="8">
        <v>3150934</v>
      </c>
    </row>
    <row r="511" spans="1:6" x14ac:dyDescent="0.4">
      <c r="A511" s="6">
        <f t="shared" si="15"/>
        <v>510</v>
      </c>
      <c r="B511" s="6" t="str">
        <f t="shared" si="14"/>
        <v>Policy510</v>
      </c>
      <c r="C511" s="7" t="s">
        <v>11</v>
      </c>
      <c r="D511" s="6">
        <v>2023</v>
      </c>
      <c r="E511" s="6">
        <v>2026</v>
      </c>
      <c r="F511" s="8">
        <v>31623</v>
      </c>
    </row>
    <row r="512" spans="1:6" x14ac:dyDescent="0.4">
      <c r="A512" s="6">
        <f t="shared" si="15"/>
        <v>511</v>
      </c>
      <c r="B512" s="6" t="str">
        <f t="shared" si="14"/>
        <v>Policy511</v>
      </c>
      <c r="C512" s="7" t="s">
        <v>12</v>
      </c>
      <c r="D512" s="6">
        <v>2022</v>
      </c>
      <c r="E512" s="6">
        <v>2024</v>
      </c>
      <c r="F512" s="8">
        <v>2663233</v>
      </c>
    </row>
    <row r="513" spans="1:6" x14ac:dyDescent="0.4">
      <c r="A513" s="6">
        <f t="shared" si="15"/>
        <v>512</v>
      </c>
      <c r="B513" s="6" t="str">
        <f t="shared" si="14"/>
        <v>Policy512</v>
      </c>
      <c r="C513" s="7" t="s">
        <v>11</v>
      </c>
      <c r="D513" s="6">
        <v>2025</v>
      </c>
      <c r="E513" s="6">
        <v>2026</v>
      </c>
      <c r="F513" s="8">
        <v>32902</v>
      </c>
    </row>
    <row r="514" spans="1:6" x14ac:dyDescent="0.4">
      <c r="A514" s="6">
        <f t="shared" si="15"/>
        <v>513</v>
      </c>
      <c r="B514" s="6" t="str">
        <f t="shared" si="14"/>
        <v>Policy513</v>
      </c>
      <c r="C514" s="7" t="s">
        <v>11</v>
      </c>
      <c r="D514" s="6">
        <v>2021</v>
      </c>
      <c r="E514" s="6">
        <v>2024</v>
      </c>
      <c r="F514" s="8">
        <v>7769</v>
      </c>
    </row>
    <row r="515" spans="1:6" x14ac:dyDescent="0.4">
      <c r="A515" s="6">
        <f t="shared" si="15"/>
        <v>514</v>
      </c>
      <c r="B515" s="6" t="str">
        <f t="shared" ref="B515:B578" si="16">"Policy"&amp;A515</f>
        <v>Policy514</v>
      </c>
      <c r="C515" s="7" t="s">
        <v>12</v>
      </c>
      <c r="D515" s="6">
        <v>2025</v>
      </c>
      <c r="E515" s="6">
        <v>2026</v>
      </c>
      <c r="F515" s="8">
        <v>1637340</v>
      </c>
    </row>
    <row r="516" spans="1:6" x14ac:dyDescent="0.4">
      <c r="A516" s="6">
        <f t="shared" ref="A516:A579" si="17">A515+1</f>
        <v>515</v>
      </c>
      <c r="B516" s="6" t="str">
        <f t="shared" si="16"/>
        <v>Policy515</v>
      </c>
      <c r="C516" s="7" t="s">
        <v>11</v>
      </c>
      <c r="D516" s="6">
        <v>2021</v>
      </c>
      <c r="E516" s="6">
        <v>2025</v>
      </c>
      <c r="F516" s="8">
        <v>2723</v>
      </c>
    </row>
    <row r="517" spans="1:6" x14ac:dyDescent="0.4">
      <c r="A517" s="6">
        <f t="shared" si="17"/>
        <v>516</v>
      </c>
      <c r="B517" s="6" t="str">
        <f t="shared" si="16"/>
        <v>Policy516</v>
      </c>
      <c r="C517" s="7" t="s">
        <v>12</v>
      </c>
      <c r="D517" s="6">
        <v>2021</v>
      </c>
      <c r="E517" s="6">
        <v>2023</v>
      </c>
      <c r="F517" s="8">
        <v>4954913</v>
      </c>
    </row>
    <row r="518" spans="1:6" x14ac:dyDescent="0.4">
      <c r="A518" s="6">
        <f t="shared" si="17"/>
        <v>517</v>
      </c>
      <c r="B518" s="6" t="str">
        <f t="shared" si="16"/>
        <v>Policy517</v>
      </c>
      <c r="C518" s="7" t="s">
        <v>12</v>
      </c>
      <c r="D518" s="6">
        <v>2021</v>
      </c>
      <c r="E518" s="6">
        <v>2025</v>
      </c>
      <c r="F518" s="8">
        <v>2623632</v>
      </c>
    </row>
    <row r="519" spans="1:6" x14ac:dyDescent="0.4">
      <c r="A519" s="6">
        <f t="shared" si="17"/>
        <v>518</v>
      </c>
      <c r="B519" s="6" t="str">
        <f t="shared" si="16"/>
        <v>Policy518</v>
      </c>
      <c r="C519" s="7" t="s">
        <v>12</v>
      </c>
      <c r="D519" s="6">
        <v>2022</v>
      </c>
      <c r="E519" s="6">
        <v>2025</v>
      </c>
      <c r="F519" s="8">
        <v>2511328</v>
      </c>
    </row>
    <row r="520" spans="1:6" x14ac:dyDescent="0.4">
      <c r="A520" s="6">
        <f t="shared" si="17"/>
        <v>519</v>
      </c>
      <c r="B520" s="6" t="str">
        <f t="shared" si="16"/>
        <v>Policy519</v>
      </c>
      <c r="C520" s="7" t="s">
        <v>11</v>
      </c>
      <c r="D520" s="6">
        <v>2023</v>
      </c>
      <c r="E520" s="6">
        <v>2025</v>
      </c>
      <c r="F520" s="8">
        <v>41014</v>
      </c>
    </row>
    <row r="521" spans="1:6" x14ac:dyDescent="0.4">
      <c r="A521" s="6">
        <f t="shared" si="17"/>
        <v>520</v>
      </c>
      <c r="B521" s="6" t="str">
        <f t="shared" si="16"/>
        <v>Policy520</v>
      </c>
      <c r="C521" s="7" t="s">
        <v>12</v>
      </c>
      <c r="D521" s="6">
        <v>2024</v>
      </c>
      <c r="E521" s="6">
        <v>2025</v>
      </c>
      <c r="F521" s="8">
        <v>4155996</v>
      </c>
    </row>
    <row r="522" spans="1:6" x14ac:dyDescent="0.4">
      <c r="A522" s="6">
        <f t="shared" si="17"/>
        <v>521</v>
      </c>
      <c r="B522" s="6" t="str">
        <f t="shared" si="16"/>
        <v>Policy521</v>
      </c>
      <c r="C522" s="7" t="s">
        <v>12</v>
      </c>
      <c r="D522" s="6">
        <v>2023</v>
      </c>
      <c r="E522" s="6">
        <v>2026</v>
      </c>
      <c r="F522" s="8">
        <v>3018363</v>
      </c>
    </row>
    <row r="523" spans="1:6" x14ac:dyDescent="0.4">
      <c r="A523" s="6">
        <f t="shared" si="17"/>
        <v>522</v>
      </c>
      <c r="B523" s="6" t="str">
        <f t="shared" si="16"/>
        <v>Policy522</v>
      </c>
      <c r="C523" s="7" t="s">
        <v>12</v>
      </c>
      <c r="D523" s="6">
        <v>2023</v>
      </c>
      <c r="E523" s="6">
        <v>2025</v>
      </c>
      <c r="F523" s="8">
        <v>773345</v>
      </c>
    </row>
    <row r="524" spans="1:6" x14ac:dyDescent="0.4">
      <c r="A524" s="6">
        <f t="shared" si="17"/>
        <v>523</v>
      </c>
      <c r="B524" s="6" t="str">
        <f t="shared" si="16"/>
        <v>Policy523</v>
      </c>
      <c r="C524" s="7" t="s">
        <v>11</v>
      </c>
      <c r="D524" s="6">
        <v>2022</v>
      </c>
      <c r="E524" s="6">
        <v>2024</v>
      </c>
      <c r="F524" s="8">
        <v>49303</v>
      </c>
    </row>
    <row r="525" spans="1:6" x14ac:dyDescent="0.4">
      <c r="A525" s="6">
        <f t="shared" si="17"/>
        <v>524</v>
      </c>
      <c r="B525" s="6" t="str">
        <f t="shared" si="16"/>
        <v>Policy524</v>
      </c>
      <c r="C525" s="7" t="s">
        <v>11</v>
      </c>
      <c r="D525" s="6">
        <v>2023</v>
      </c>
      <c r="E525" s="6">
        <v>2025</v>
      </c>
      <c r="F525" s="8">
        <v>23670</v>
      </c>
    </row>
    <row r="526" spans="1:6" x14ac:dyDescent="0.4">
      <c r="A526" s="6">
        <f t="shared" si="17"/>
        <v>525</v>
      </c>
      <c r="B526" s="6" t="str">
        <f t="shared" si="16"/>
        <v>Policy525</v>
      </c>
      <c r="C526" s="7" t="s">
        <v>11</v>
      </c>
      <c r="D526" s="6">
        <v>2021</v>
      </c>
      <c r="E526" s="6">
        <v>2026</v>
      </c>
      <c r="F526" s="8">
        <v>11410</v>
      </c>
    </row>
    <row r="527" spans="1:6" x14ac:dyDescent="0.4">
      <c r="A527" s="6">
        <f t="shared" si="17"/>
        <v>526</v>
      </c>
      <c r="B527" s="6" t="str">
        <f t="shared" si="16"/>
        <v>Policy526</v>
      </c>
      <c r="C527" s="7" t="s">
        <v>11</v>
      </c>
      <c r="D527" s="6">
        <v>2022</v>
      </c>
      <c r="E527" s="6">
        <v>2023</v>
      </c>
      <c r="F527" s="8">
        <v>4475</v>
      </c>
    </row>
    <row r="528" spans="1:6" x14ac:dyDescent="0.4">
      <c r="A528" s="6">
        <f t="shared" si="17"/>
        <v>527</v>
      </c>
      <c r="B528" s="6" t="str">
        <f t="shared" si="16"/>
        <v>Policy527</v>
      </c>
      <c r="C528" s="7" t="s">
        <v>12</v>
      </c>
      <c r="D528" s="6">
        <v>2021</v>
      </c>
      <c r="E528" s="6">
        <v>2023</v>
      </c>
      <c r="F528" s="8">
        <v>4333958</v>
      </c>
    </row>
    <row r="529" spans="1:6" x14ac:dyDescent="0.4">
      <c r="A529" s="6">
        <f t="shared" si="17"/>
        <v>528</v>
      </c>
      <c r="B529" s="6" t="str">
        <f t="shared" si="16"/>
        <v>Policy528</v>
      </c>
      <c r="C529" s="7" t="s">
        <v>11</v>
      </c>
      <c r="D529" s="6">
        <v>2024</v>
      </c>
      <c r="E529" s="6">
        <v>2025</v>
      </c>
      <c r="F529" s="8">
        <v>31066</v>
      </c>
    </row>
    <row r="530" spans="1:6" x14ac:dyDescent="0.4">
      <c r="A530" s="6">
        <f t="shared" si="17"/>
        <v>529</v>
      </c>
      <c r="B530" s="6" t="str">
        <f t="shared" si="16"/>
        <v>Policy529</v>
      </c>
      <c r="C530" s="7" t="s">
        <v>11</v>
      </c>
      <c r="D530" s="6">
        <v>2021</v>
      </c>
      <c r="E530" s="6">
        <v>2023</v>
      </c>
      <c r="F530" s="8">
        <v>8316</v>
      </c>
    </row>
    <row r="531" spans="1:6" x14ac:dyDescent="0.4">
      <c r="A531" s="6">
        <f t="shared" si="17"/>
        <v>530</v>
      </c>
      <c r="B531" s="6" t="str">
        <f t="shared" si="16"/>
        <v>Policy530</v>
      </c>
      <c r="C531" s="7" t="s">
        <v>11</v>
      </c>
      <c r="D531" s="6">
        <v>2022</v>
      </c>
      <c r="E531" s="6">
        <v>2026</v>
      </c>
      <c r="F531" s="8">
        <v>20237</v>
      </c>
    </row>
    <row r="532" spans="1:6" x14ac:dyDescent="0.4">
      <c r="A532" s="6">
        <f t="shared" si="17"/>
        <v>531</v>
      </c>
      <c r="B532" s="6" t="str">
        <f t="shared" si="16"/>
        <v>Policy531</v>
      </c>
      <c r="C532" s="7" t="s">
        <v>11</v>
      </c>
      <c r="D532" s="6">
        <v>2025</v>
      </c>
      <c r="E532" s="6">
        <v>2026</v>
      </c>
      <c r="F532" s="8">
        <v>33869</v>
      </c>
    </row>
    <row r="533" spans="1:6" x14ac:dyDescent="0.4">
      <c r="A533" s="6">
        <f t="shared" si="17"/>
        <v>532</v>
      </c>
      <c r="B533" s="6" t="str">
        <f t="shared" si="16"/>
        <v>Policy532</v>
      </c>
      <c r="C533" s="7" t="s">
        <v>11</v>
      </c>
      <c r="D533" s="6">
        <v>2023</v>
      </c>
      <c r="E533" s="6">
        <v>2024</v>
      </c>
      <c r="F533" s="8">
        <v>29587</v>
      </c>
    </row>
    <row r="534" spans="1:6" x14ac:dyDescent="0.4">
      <c r="A534" s="6">
        <f t="shared" si="17"/>
        <v>533</v>
      </c>
      <c r="B534" s="6" t="str">
        <f t="shared" si="16"/>
        <v>Policy533</v>
      </c>
      <c r="C534" s="7" t="s">
        <v>12</v>
      </c>
      <c r="D534" s="6">
        <v>2025</v>
      </c>
      <c r="E534" s="6">
        <v>2026</v>
      </c>
      <c r="F534" s="8">
        <v>4363560</v>
      </c>
    </row>
    <row r="535" spans="1:6" x14ac:dyDescent="0.4">
      <c r="A535" s="6">
        <f t="shared" si="17"/>
        <v>534</v>
      </c>
      <c r="B535" s="6" t="str">
        <f t="shared" si="16"/>
        <v>Policy534</v>
      </c>
      <c r="C535" s="7" t="s">
        <v>11</v>
      </c>
      <c r="D535" s="6">
        <v>2024</v>
      </c>
      <c r="E535" s="6">
        <v>2025</v>
      </c>
      <c r="F535" s="8">
        <v>43276</v>
      </c>
    </row>
    <row r="536" spans="1:6" x14ac:dyDescent="0.4">
      <c r="A536" s="6">
        <f t="shared" si="17"/>
        <v>535</v>
      </c>
      <c r="B536" s="6" t="str">
        <f t="shared" si="16"/>
        <v>Policy535</v>
      </c>
      <c r="C536" s="7" t="s">
        <v>11</v>
      </c>
      <c r="D536" s="6">
        <v>2023</v>
      </c>
      <c r="E536" s="6">
        <v>2024</v>
      </c>
      <c r="F536" s="8">
        <v>39075</v>
      </c>
    </row>
    <row r="537" spans="1:6" x14ac:dyDescent="0.4">
      <c r="A537" s="6">
        <f t="shared" si="17"/>
        <v>536</v>
      </c>
      <c r="B537" s="6" t="str">
        <f t="shared" si="16"/>
        <v>Policy536</v>
      </c>
      <c r="C537" s="7" t="s">
        <v>11</v>
      </c>
      <c r="D537" s="6">
        <v>2021</v>
      </c>
      <c r="E537" s="6">
        <v>2023</v>
      </c>
      <c r="F537" s="8">
        <v>23386</v>
      </c>
    </row>
    <row r="538" spans="1:6" x14ac:dyDescent="0.4">
      <c r="A538" s="6">
        <f t="shared" si="17"/>
        <v>537</v>
      </c>
      <c r="B538" s="6" t="str">
        <f t="shared" si="16"/>
        <v>Policy537</v>
      </c>
      <c r="C538" s="7" t="s">
        <v>11</v>
      </c>
      <c r="D538" s="6">
        <v>2023</v>
      </c>
      <c r="E538" s="6">
        <v>2024</v>
      </c>
      <c r="F538" s="8">
        <v>48418</v>
      </c>
    </row>
    <row r="539" spans="1:6" x14ac:dyDescent="0.4">
      <c r="A539" s="6">
        <f t="shared" si="17"/>
        <v>538</v>
      </c>
      <c r="B539" s="6" t="str">
        <f t="shared" si="16"/>
        <v>Policy538</v>
      </c>
      <c r="C539" s="7" t="s">
        <v>12</v>
      </c>
      <c r="D539" s="6">
        <v>2025</v>
      </c>
      <c r="E539" s="6">
        <v>2026</v>
      </c>
      <c r="F539" s="8">
        <v>3299661</v>
      </c>
    </row>
    <row r="540" spans="1:6" x14ac:dyDescent="0.4">
      <c r="A540" s="6">
        <f t="shared" si="17"/>
        <v>539</v>
      </c>
      <c r="B540" s="6" t="str">
        <f t="shared" si="16"/>
        <v>Policy539</v>
      </c>
      <c r="C540" s="7" t="s">
        <v>12</v>
      </c>
      <c r="D540" s="6">
        <v>2024</v>
      </c>
      <c r="E540" s="6">
        <v>2025</v>
      </c>
      <c r="F540" s="8">
        <v>1886087</v>
      </c>
    </row>
    <row r="541" spans="1:6" x14ac:dyDescent="0.4">
      <c r="A541" s="6">
        <f t="shared" si="17"/>
        <v>540</v>
      </c>
      <c r="B541" s="6" t="str">
        <f t="shared" si="16"/>
        <v>Policy540</v>
      </c>
      <c r="C541" s="7" t="s">
        <v>11</v>
      </c>
      <c r="D541" s="6">
        <v>2022</v>
      </c>
      <c r="E541" s="6">
        <v>2025</v>
      </c>
      <c r="F541" s="8">
        <v>41450</v>
      </c>
    </row>
    <row r="542" spans="1:6" x14ac:dyDescent="0.4">
      <c r="A542" s="6">
        <f t="shared" si="17"/>
        <v>541</v>
      </c>
      <c r="B542" s="6" t="str">
        <f t="shared" si="16"/>
        <v>Policy541</v>
      </c>
      <c r="C542" s="7" t="s">
        <v>11</v>
      </c>
      <c r="D542" s="6">
        <v>2022</v>
      </c>
      <c r="E542" s="6">
        <v>2024</v>
      </c>
      <c r="F542" s="8">
        <v>14570</v>
      </c>
    </row>
    <row r="543" spans="1:6" x14ac:dyDescent="0.4">
      <c r="A543" s="6">
        <f t="shared" si="17"/>
        <v>542</v>
      </c>
      <c r="B543" s="6" t="str">
        <f t="shared" si="16"/>
        <v>Policy542</v>
      </c>
      <c r="C543" s="7" t="s">
        <v>12</v>
      </c>
      <c r="D543" s="6">
        <v>2022</v>
      </c>
      <c r="E543" s="6">
        <v>2025</v>
      </c>
      <c r="F543" s="8">
        <v>2230376</v>
      </c>
    </row>
    <row r="544" spans="1:6" x14ac:dyDescent="0.4">
      <c r="A544" s="6">
        <f t="shared" si="17"/>
        <v>543</v>
      </c>
      <c r="B544" s="6" t="str">
        <f t="shared" si="16"/>
        <v>Policy543</v>
      </c>
      <c r="C544" s="7" t="s">
        <v>12</v>
      </c>
      <c r="D544" s="6">
        <v>2025</v>
      </c>
      <c r="E544" s="6">
        <v>2026</v>
      </c>
      <c r="F544" s="8">
        <v>582366</v>
      </c>
    </row>
    <row r="545" spans="1:6" x14ac:dyDescent="0.4">
      <c r="A545" s="6">
        <f t="shared" si="17"/>
        <v>544</v>
      </c>
      <c r="B545" s="6" t="str">
        <f t="shared" si="16"/>
        <v>Policy544</v>
      </c>
      <c r="C545" s="7" t="s">
        <v>11</v>
      </c>
      <c r="D545" s="6">
        <v>2023</v>
      </c>
      <c r="E545" s="6">
        <v>2026</v>
      </c>
      <c r="F545" s="8">
        <v>35087</v>
      </c>
    </row>
    <row r="546" spans="1:6" x14ac:dyDescent="0.4">
      <c r="A546" s="6">
        <f t="shared" si="17"/>
        <v>545</v>
      </c>
      <c r="B546" s="6" t="str">
        <f t="shared" si="16"/>
        <v>Policy545</v>
      </c>
      <c r="C546" s="7" t="s">
        <v>11</v>
      </c>
      <c r="D546" s="6">
        <v>2023</v>
      </c>
      <c r="E546" s="6">
        <v>2024</v>
      </c>
      <c r="F546" s="8">
        <v>9497</v>
      </c>
    </row>
    <row r="547" spans="1:6" x14ac:dyDescent="0.4">
      <c r="A547" s="6">
        <f t="shared" si="17"/>
        <v>546</v>
      </c>
      <c r="B547" s="6" t="str">
        <f t="shared" si="16"/>
        <v>Policy546</v>
      </c>
      <c r="C547" s="7" t="s">
        <v>11</v>
      </c>
      <c r="D547" s="6">
        <v>2021</v>
      </c>
      <c r="E547" s="6">
        <v>2022</v>
      </c>
      <c r="F547" s="8">
        <v>21525</v>
      </c>
    </row>
    <row r="548" spans="1:6" x14ac:dyDescent="0.4">
      <c r="A548" s="6">
        <f t="shared" si="17"/>
        <v>547</v>
      </c>
      <c r="B548" s="6" t="str">
        <f t="shared" si="16"/>
        <v>Policy547</v>
      </c>
      <c r="C548" s="7" t="s">
        <v>11</v>
      </c>
      <c r="D548" s="6">
        <v>2022</v>
      </c>
      <c r="E548" s="6">
        <v>2024</v>
      </c>
      <c r="F548" s="8">
        <v>37596</v>
      </c>
    </row>
    <row r="549" spans="1:6" x14ac:dyDescent="0.4">
      <c r="A549" s="6">
        <f t="shared" si="17"/>
        <v>548</v>
      </c>
      <c r="B549" s="6" t="str">
        <f t="shared" si="16"/>
        <v>Policy548</v>
      </c>
      <c r="C549" s="7" t="s">
        <v>11</v>
      </c>
      <c r="D549" s="6">
        <v>2021</v>
      </c>
      <c r="E549" s="6">
        <v>2023</v>
      </c>
      <c r="F549" s="8">
        <v>45738</v>
      </c>
    </row>
    <row r="550" spans="1:6" x14ac:dyDescent="0.4">
      <c r="A550" s="6">
        <f t="shared" si="17"/>
        <v>549</v>
      </c>
      <c r="B550" s="6" t="str">
        <f t="shared" si="16"/>
        <v>Policy549</v>
      </c>
      <c r="C550" s="7" t="s">
        <v>12</v>
      </c>
      <c r="D550" s="6">
        <v>2021</v>
      </c>
      <c r="E550" s="6">
        <v>2026</v>
      </c>
      <c r="F550" s="8">
        <v>4916754</v>
      </c>
    </row>
    <row r="551" spans="1:6" x14ac:dyDescent="0.4">
      <c r="A551" s="6">
        <f t="shared" si="17"/>
        <v>550</v>
      </c>
      <c r="B551" s="6" t="str">
        <f t="shared" si="16"/>
        <v>Policy550</v>
      </c>
      <c r="C551" s="7" t="s">
        <v>12</v>
      </c>
      <c r="D551" s="6">
        <v>2023</v>
      </c>
      <c r="E551" s="6">
        <v>2024</v>
      </c>
      <c r="F551" s="8">
        <v>1775549</v>
      </c>
    </row>
    <row r="552" spans="1:6" x14ac:dyDescent="0.4">
      <c r="A552" s="6">
        <f t="shared" si="17"/>
        <v>551</v>
      </c>
      <c r="B552" s="6" t="str">
        <f t="shared" si="16"/>
        <v>Policy551</v>
      </c>
      <c r="C552" s="7" t="s">
        <v>12</v>
      </c>
      <c r="D552" s="6">
        <v>2023</v>
      </c>
      <c r="E552" s="6">
        <v>2026</v>
      </c>
      <c r="F552" s="8">
        <v>3181523</v>
      </c>
    </row>
    <row r="553" spans="1:6" x14ac:dyDescent="0.4">
      <c r="A553" s="6">
        <f t="shared" si="17"/>
        <v>552</v>
      </c>
      <c r="B553" s="6" t="str">
        <f t="shared" si="16"/>
        <v>Policy552</v>
      </c>
      <c r="C553" s="7" t="s">
        <v>12</v>
      </c>
      <c r="D553" s="6">
        <v>2025</v>
      </c>
      <c r="E553" s="6">
        <v>2026</v>
      </c>
      <c r="F553" s="8">
        <v>1770373</v>
      </c>
    </row>
    <row r="554" spans="1:6" x14ac:dyDescent="0.4">
      <c r="A554" s="6">
        <f t="shared" si="17"/>
        <v>553</v>
      </c>
      <c r="B554" s="6" t="str">
        <f t="shared" si="16"/>
        <v>Policy553</v>
      </c>
      <c r="C554" s="7" t="s">
        <v>12</v>
      </c>
      <c r="D554" s="6">
        <v>2021</v>
      </c>
      <c r="E554" s="6">
        <v>2022</v>
      </c>
      <c r="F554" s="8">
        <v>946219</v>
      </c>
    </row>
    <row r="555" spans="1:6" x14ac:dyDescent="0.4">
      <c r="A555" s="6">
        <f t="shared" si="17"/>
        <v>554</v>
      </c>
      <c r="B555" s="6" t="str">
        <f t="shared" si="16"/>
        <v>Policy554</v>
      </c>
      <c r="C555" s="7" t="s">
        <v>11</v>
      </c>
      <c r="D555" s="6">
        <v>2022</v>
      </c>
      <c r="E555" s="6">
        <v>2026</v>
      </c>
      <c r="F555" s="8">
        <v>5105</v>
      </c>
    </row>
    <row r="556" spans="1:6" x14ac:dyDescent="0.4">
      <c r="A556" s="6">
        <f t="shared" si="17"/>
        <v>555</v>
      </c>
      <c r="B556" s="6" t="str">
        <f t="shared" si="16"/>
        <v>Policy555</v>
      </c>
      <c r="C556" s="7" t="s">
        <v>12</v>
      </c>
      <c r="D556" s="6">
        <v>2021</v>
      </c>
      <c r="E556" s="6">
        <v>2022</v>
      </c>
      <c r="F556" s="8">
        <v>4963455</v>
      </c>
    </row>
    <row r="557" spans="1:6" x14ac:dyDescent="0.4">
      <c r="A557" s="6">
        <f t="shared" si="17"/>
        <v>556</v>
      </c>
      <c r="B557" s="6" t="str">
        <f t="shared" si="16"/>
        <v>Policy556</v>
      </c>
      <c r="C557" s="7" t="s">
        <v>12</v>
      </c>
      <c r="D557" s="6">
        <v>2024</v>
      </c>
      <c r="E557" s="6">
        <v>2026</v>
      </c>
      <c r="F557" s="8">
        <v>4255986</v>
      </c>
    </row>
    <row r="558" spans="1:6" x14ac:dyDescent="0.4">
      <c r="A558" s="6">
        <f t="shared" si="17"/>
        <v>557</v>
      </c>
      <c r="B558" s="6" t="str">
        <f t="shared" si="16"/>
        <v>Policy557</v>
      </c>
      <c r="C558" s="7" t="s">
        <v>12</v>
      </c>
      <c r="D558" s="6">
        <v>2022</v>
      </c>
      <c r="E558" s="6">
        <v>2026</v>
      </c>
      <c r="F558" s="8">
        <v>4696749</v>
      </c>
    </row>
    <row r="559" spans="1:6" x14ac:dyDescent="0.4">
      <c r="A559" s="6">
        <f t="shared" si="17"/>
        <v>558</v>
      </c>
      <c r="B559" s="6" t="str">
        <f t="shared" si="16"/>
        <v>Policy558</v>
      </c>
      <c r="C559" s="7" t="s">
        <v>11</v>
      </c>
      <c r="D559" s="6">
        <v>2021</v>
      </c>
      <c r="E559" s="6">
        <v>2026</v>
      </c>
      <c r="F559" s="8">
        <v>24003</v>
      </c>
    </row>
    <row r="560" spans="1:6" x14ac:dyDescent="0.4">
      <c r="A560" s="6">
        <f t="shared" si="17"/>
        <v>559</v>
      </c>
      <c r="B560" s="6" t="str">
        <f t="shared" si="16"/>
        <v>Policy559</v>
      </c>
      <c r="C560" s="7" t="s">
        <v>12</v>
      </c>
      <c r="D560" s="6">
        <v>2024</v>
      </c>
      <c r="E560" s="6">
        <v>2026</v>
      </c>
      <c r="F560" s="8">
        <v>4361185</v>
      </c>
    </row>
    <row r="561" spans="1:6" x14ac:dyDescent="0.4">
      <c r="A561" s="6">
        <f t="shared" si="17"/>
        <v>560</v>
      </c>
      <c r="B561" s="6" t="str">
        <f t="shared" si="16"/>
        <v>Policy560</v>
      </c>
      <c r="C561" s="7" t="s">
        <v>12</v>
      </c>
      <c r="D561" s="6">
        <v>2022</v>
      </c>
      <c r="E561" s="6">
        <v>2025</v>
      </c>
      <c r="F561" s="8">
        <v>1522150</v>
      </c>
    </row>
    <row r="562" spans="1:6" x14ac:dyDescent="0.4">
      <c r="A562" s="6">
        <f t="shared" si="17"/>
        <v>561</v>
      </c>
      <c r="B562" s="6" t="str">
        <f t="shared" si="16"/>
        <v>Policy561</v>
      </c>
      <c r="C562" s="7" t="s">
        <v>12</v>
      </c>
      <c r="D562" s="6">
        <v>2023</v>
      </c>
      <c r="E562" s="6">
        <v>2025</v>
      </c>
      <c r="F562" s="8">
        <v>2386836</v>
      </c>
    </row>
    <row r="563" spans="1:6" x14ac:dyDescent="0.4">
      <c r="A563" s="6">
        <f t="shared" si="17"/>
        <v>562</v>
      </c>
      <c r="B563" s="6" t="str">
        <f t="shared" si="16"/>
        <v>Policy562</v>
      </c>
      <c r="C563" s="7" t="s">
        <v>12</v>
      </c>
      <c r="D563" s="6">
        <v>2021</v>
      </c>
      <c r="E563" s="6">
        <v>2022</v>
      </c>
      <c r="F563" s="8">
        <v>245220</v>
      </c>
    </row>
    <row r="564" spans="1:6" x14ac:dyDescent="0.4">
      <c r="A564" s="6">
        <f t="shared" si="17"/>
        <v>563</v>
      </c>
      <c r="B564" s="6" t="str">
        <f t="shared" si="16"/>
        <v>Policy563</v>
      </c>
      <c r="C564" s="7" t="s">
        <v>12</v>
      </c>
      <c r="D564" s="6">
        <v>2021</v>
      </c>
      <c r="E564" s="6">
        <v>2023</v>
      </c>
      <c r="F564" s="8">
        <v>3791809</v>
      </c>
    </row>
    <row r="565" spans="1:6" x14ac:dyDescent="0.4">
      <c r="A565" s="6">
        <f t="shared" si="17"/>
        <v>564</v>
      </c>
      <c r="B565" s="6" t="str">
        <f t="shared" si="16"/>
        <v>Policy564</v>
      </c>
      <c r="C565" s="7" t="s">
        <v>11</v>
      </c>
      <c r="D565" s="6">
        <v>2024</v>
      </c>
      <c r="E565" s="6">
        <v>2025</v>
      </c>
      <c r="F565" s="8">
        <v>20557</v>
      </c>
    </row>
    <row r="566" spans="1:6" x14ac:dyDescent="0.4">
      <c r="A566" s="6">
        <f t="shared" si="17"/>
        <v>565</v>
      </c>
      <c r="B566" s="6" t="str">
        <f t="shared" si="16"/>
        <v>Policy565</v>
      </c>
      <c r="C566" s="7" t="s">
        <v>12</v>
      </c>
      <c r="D566" s="6">
        <v>2024</v>
      </c>
      <c r="E566" s="6">
        <v>2025</v>
      </c>
      <c r="F566" s="8">
        <v>788733</v>
      </c>
    </row>
    <row r="567" spans="1:6" x14ac:dyDescent="0.4">
      <c r="A567" s="6">
        <f t="shared" si="17"/>
        <v>566</v>
      </c>
      <c r="B567" s="6" t="str">
        <f t="shared" si="16"/>
        <v>Policy566</v>
      </c>
      <c r="C567" s="7" t="s">
        <v>12</v>
      </c>
      <c r="D567" s="6">
        <v>2023</v>
      </c>
      <c r="E567" s="6">
        <v>2026</v>
      </c>
      <c r="F567" s="8">
        <v>1004874</v>
      </c>
    </row>
    <row r="568" spans="1:6" x14ac:dyDescent="0.4">
      <c r="A568" s="6">
        <f t="shared" si="17"/>
        <v>567</v>
      </c>
      <c r="B568" s="6" t="str">
        <f t="shared" si="16"/>
        <v>Policy567</v>
      </c>
      <c r="C568" s="7" t="s">
        <v>11</v>
      </c>
      <c r="D568" s="6">
        <v>2021</v>
      </c>
      <c r="E568" s="6">
        <v>2024</v>
      </c>
      <c r="F568" s="8">
        <v>43393</v>
      </c>
    </row>
    <row r="569" spans="1:6" x14ac:dyDescent="0.4">
      <c r="A569" s="6">
        <f t="shared" si="17"/>
        <v>568</v>
      </c>
      <c r="B569" s="6" t="str">
        <f t="shared" si="16"/>
        <v>Policy568</v>
      </c>
      <c r="C569" s="7" t="s">
        <v>12</v>
      </c>
      <c r="D569" s="6">
        <v>2023</v>
      </c>
      <c r="E569" s="6">
        <v>2025</v>
      </c>
      <c r="F569" s="8">
        <v>2599377</v>
      </c>
    </row>
    <row r="570" spans="1:6" x14ac:dyDescent="0.4">
      <c r="A570" s="6">
        <f t="shared" si="17"/>
        <v>569</v>
      </c>
      <c r="B570" s="6" t="str">
        <f t="shared" si="16"/>
        <v>Policy569</v>
      </c>
      <c r="C570" s="7" t="s">
        <v>11</v>
      </c>
      <c r="D570" s="6">
        <v>2025</v>
      </c>
      <c r="E570" s="6">
        <v>2026</v>
      </c>
      <c r="F570" s="8">
        <v>40993</v>
      </c>
    </row>
    <row r="571" spans="1:6" x14ac:dyDescent="0.4">
      <c r="A571" s="6">
        <f t="shared" si="17"/>
        <v>570</v>
      </c>
      <c r="B571" s="6" t="str">
        <f t="shared" si="16"/>
        <v>Policy570</v>
      </c>
      <c r="C571" s="7" t="s">
        <v>11</v>
      </c>
      <c r="D571" s="6">
        <v>2024</v>
      </c>
      <c r="E571" s="6">
        <v>2025</v>
      </c>
      <c r="F571" s="8">
        <v>24536</v>
      </c>
    </row>
    <row r="572" spans="1:6" x14ac:dyDescent="0.4">
      <c r="A572" s="6">
        <f t="shared" si="17"/>
        <v>571</v>
      </c>
      <c r="B572" s="6" t="str">
        <f t="shared" si="16"/>
        <v>Policy571</v>
      </c>
      <c r="C572" s="7" t="s">
        <v>12</v>
      </c>
      <c r="D572" s="6">
        <v>2021</v>
      </c>
      <c r="E572" s="6">
        <v>2022</v>
      </c>
      <c r="F572" s="8">
        <v>2224912</v>
      </c>
    </row>
    <row r="573" spans="1:6" x14ac:dyDescent="0.4">
      <c r="A573" s="6">
        <f t="shared" si="17"/>
        <v>572</v>
      </c>
      <c r="B573" s="6" t="str">
        <f t="shared" si="16"/>
        <v>Policy572</v>
      </c>
      <c r="C573" s="7" t="s">
        <v>11</v>
      </c>
      <c r="D573" s="6">
        <v>2023</v>
      </c>
      <c r="E573" s="6">
        <v>2024</v>
      </c>
      <c r="F573" s="8">
        <v>35467</v>
      </c>
    </row>
    <row r="574" spans="1:6" x14ac:dyDescent="0.4">
      <c r="A574" s="6">
        <f t="shared" si="17"/>
        <v>573</v>
      </c>
      <c r="B574" s="6" t="str">
        <f t="shared" si="16"/>
        <v>Policy573</v>
      </c>
      <c r="C574" s="7" t="s">
        <v>12</v>
      </c>
      <c r="D574" s="6">
        <v>2024</v>
      </c>
      <c r="E574" s="6">
        <v>2025</v>
      </c>
      <c r="F574" s="8">
        <v>2123556</v>
      </c>
    </row>
    <row r="575" spans="1:6" x14ac:dyDescent="0.4">
      <c r="A575" s="6">
        <f t="shared" si="17"/>
        <v>574</v>
      </c>
      <c r="B575" s="6" t="str">
        <f t="shared" si="16"/>
        <v>Policy574</v>
      </c>
      <c r="C575" s="7" t="s">
        <v>12</v>
      </c>
      <c r="D575" s="6">
        <v>2025</v>
      </c>
      <c r="E575" s="6">
        <v>2026</v>
      </c>
      <c r="F575" s="8">
        <v>4652662</v>
      </c>
    </row>
    <row r="576" spans="1:6" x14ac:dyDescent="0.4">
      <c r="A576" s="6">
        <f t="shared" si="17"/>
        <v>575</v>
      </c>
      <c r="B576" s="6" t="str">
        <f t="shared" si="16"/>
        <v>Policy575</v>
      </c>
      <c r="C576" s="7" t="s">
        <v>12</v>
      </c>
      <c r="D576" s="6">
        <v>2022</v>
      </c>
      <c r="E576" s="6">
        <v>2024</v>
      </c>
      <c r="F576" s="8">
        <v>1343056</v>
      </c>
    </row>
    <row r="577" spans="1:6" x14ac:dyDescent="0.4">
      <c r="A577" s="6">
        <f t="shared" si="17"/>
        <v>576</v>
      </c>
      <c r="B577" s="6" t="str">
        <f t="shared" si="16"/>
        <v>Policy576</v>
      </c>
      <c r="C577" s="7" t="s">
        <v>11</v>
      </c>
      <c r="D577" s="6">
        <v>2021</v>
      </c>
      <c r="E577" s="6">
        <v>2023</v>
      </c>
      <c r="F577" s="8">
        <v>40527</v>
      </c>
    </row>
    <row r="578" spans="1:6" x14ac:dyDescent="0.4">
      <c r="A578" s="6">
        <f t="shared" si="17"/>
        <v>577</v>
      </c>
      <c r="B578" s="6" t="str">
        <f t="shared" si="16"/>
        <v>Policy577</v>
      </c>
      <c r="C578" s="7" t="s">
        <v>12</v>
      </c>
      <c r="D578" s="6">
        <v>2025</v>
      </c>
      <c r="E578" s="6">
        <v>2026</v>
      </c>
      <c r="F578" s="8">
        <v>3535151</v>
      </c>
    </row>
    <row r="579" spans="1:6" x14ac:dyDescent="0.4">
      <c r="A579" s="6">
        <f t="shared" si="17"/>
        <v>578</v>
      </c>
      <c r="B579" s="6" t="str">
        <f t="shared" ref="B579:B642" si="18">"Policy"&amp;A579</f>
        <v>Policy578</v>
      </c>
      <c r="C579" s="7" t="s">
        <v>12</v>
      </c>
      <c r="D579" s="6">
        <v>2023</v>
      </c>
      <c r="E579" s="6">
        <v>2024</v>
      </c>
      <c r="F579" s="8">
        <v>3784056</v>
      </c>
    </row>
    <row r="580" spans="1:6" x14ac:dyDescent="0.4">
      <c r="A580" s="6">
        <f t="shared" ref="A580:A643" si="19">A579+1</f>
        <v>579</v>
      </c>
      <c r="B580" s="6" t="str">
        <f t="shared" si="18"/>
        <v>Policy579</v>
      </c>
      <c r="C580" s="7" t="s">
        <v>11</v>
      </c>
      <c r="D580" s="6">
        <v>2025</v>
      </c>
      <c r="E580" s="6">
        <v>2026</v>
      </c>
      <c r="F580" s="8">
        <v>23119</v>
      </c>
    </row>
    <row r="581" spans="1:6" x14ac:dyDescent="0.4">
      <c r="A581" s="6">
        <f t="shared" si="19"/>
        <v>580</v>
      </c>
      <c r="B581" s="6" t="str">
        <f t="shared" si="18"/>
        <v>Policy580</v>
      </c>
      <c r="C581" s="7" t="s">
        <v>12</v>
      </c>
      <c r="D581" s="6">
        <v>2023</v>
      </c>
      <c r="E581" s="6">
        <v>2024</v>
      </c>
      <c r="F581" s="8">
        <v>948071</v>
      </c>
    </row>
    <row r="582" spans="1:6" x14ac:dyDescent="0.4">
      <c r="A582" s="6">
        <f t="shared" si="19"/>
        <v>581</v>
      </c>
      <c r="B582" s="6" t="str">
        <f t="shared" si="18"/>
        <v>Policy581</v>
      </c>
      <c r="C582" s="7" t="s">
        <v>12</v>
      </c>
      <c r="D582" s="6">
        <v>2022</v>
      </c>
      <c r="E582" s="6">
        <v>2026</v>
      </c>
      <c r="F582" s="8">
        <v>2411549</v>
      </c>
    </row>
    <row r="583" spans="1:6" x14ac:dyDescent="0.4">
      <c r="A583" s="6">
        <f t="shared" si="19"/>
        <v>582</v>
      </c>
      <c r="B583" s="6" t="str">
        <f t="shared" si="18"/>
        <v>Policy582</v>
      </c>
      <c r="C583" s="7" t="s">
        <v>11</v>
      </c>
      <c r="D583" s="6">
        <v>2021</v>
      </c>
      <c r="E583" s="6">
        <v>2023</v>
      </c>
      <c r="F583" s="8">
        <v>34913</v>
      </c>
    </row>
    <row r="584" spans="1:6" x14ac:dyDescent="0.4">
      <c r="A584" s="6">
        <f t="shared" si="19"/>
        <v>583</v>
      </c>
      <c r="B584" s="6" t="str">
        <f t="shared" si="18"/>
        <v>Policy583</v>
      </c>
      <c r="C584" s="7" t="s">
        <v>12</v>
      </c>
      <c r="D584" s="6">
        <v>2024</v>
      </c>
      <c r="E584" s="6">
        <v>2025</v>
      </c>
      <c r="F584" s="8">
        <v>164527</v>
      </c>
    </row>
    <row r="585" spans="1:6" x14ac:dyDescent="0.4">
      <c r="A585" s="6">
        <f t="shared" si="19"/>
        <v>584</v>
      </c>
      <c r="B585" s="6" t="str">
        <f t="shared" si="18"/>
        <v>Policy584</v>
      </c>
      <c r="C585" s="7" t="s">
        <v>11</v>
      </c>
      <c r="D585" s="6">
        <v>2025</v>
      </c>
      <c r="E585" s="6">
        <v>2026</v>
      </c>
      <c r="F585" s="8">
        <v>2721</v>
      </c>
    </row>
    <row r="586" spans="1:6" x14ac:dyDescent="0.4">
      <c r="A586" s="6">
        <f t="shared" si="19"/>
        <v>585</v>
      </c>
      <c r="B586" s="6" t="str">
        <f t="shared" si="18"/>
        <v>Policy585</v>
      </c>
      <c r="C586" s="7" t="s">
        <v>12</v>
      </c>
      <c r="D586" s="6">
        <v>2022</v>
      </c>
      <c r="E586" s="6">
        <v>2025</v>
      </c>
      <c r="F586" s="8">
        <v>2160963</v>
      </c>
    </row>
    <row r="587" spans="1:6" x14ac:dyDescent="0.4">
      <c r="A587" s="6">
        <f t="shared" si="19"/>
        <v>586</v>
      </c>
      <c r="B587" s="6" t="str">
        <f t="shared" si="18"/>
        <v>Policy586</v>
      </c>
      <c r="C587" s="7" t="s">
        <v>11</v>
      </c>
      <c r="D587" s="6">
        <v>2022</v>
      </c>
      <c r="E587" s="6">
        <v>2025</v>
      </c>
      <c r="F587" s="8">
        <v>37411</v>
      </c>
    </row>
    <row r="588" spans="1:6" x14ac:dyDescent="0.4">
      <c r="A588" s="6">
        <f t="shared" si="19"/>
        <v>587</v>
      </c>
      <c r="B588" s="6" t="str">
        <f t="shared" si="18"/>
        <v>Policy587</v>
      </c>
      <c r="C588" s="7" t="s">
        <v>12</v>
      </c>
      <c r="D588" s="6">
        <v>2021</v>
      </c>
      <c r="E588" s="6">
        <v>2024</v>
      </c>
      <c r="F588" s="8">
        <v>1789792</v>
      </c>
    </row>
    <row r="589" spans="1:6" x14ac:dyDescent="0.4">
      <c r="A589" s="6">
        <f t="shared" si="19"/>
        <v>588</v>
      </c>
      <c r="B589" s="6" t="str">
        <f t="shared" si="18"/>
        <v>Policy588</v>
      </c>
      <c r="C589" s="7" t="s">
        <v>12</v>
      </c>
      <c r="D589" s="6">
        <v>2024</v>
      </c>
      <c r="E589" s="6">
        <v>2025</v>
      </c>
      <c r="F589" s="8">
        <v>3402498</v>
      </c>
    </row>
    <row r="590" spans="1:6" x14ac:dyDescent="0.4">
      <c r="A590" s="6">
        <f t="shared" si="19"/>
        <v>589</v>
      </c>
      <c r="B590" s="6" t="str">
        <f t="shared" si="18"/>
        <v>Policy589</v>
      </c>
      <c r="C590" s="7" t="s">
        <v>11</v>
      </c>
      <c r="D590" s="6">
        <v>2024</v>
      </c>
      <c r="E590" s="6">
        <v>2025</v>
      </c>
      <c r="F590" s="8">
        <v>28417</v>
      </c>
    </row>
    <row r="591" spans="1:6" x14ac:dyDescent="0.4">
      <c r="A591" s="6">
        <f t="shared" si="19"/>
        <v>590</v>
      </c>
      <c r="B591" s="6" t="str">
        <f t="shared" si="18"/>
        <v>Policy590</v>
      </c>
      <c r="C591" s="7" t="s">
        <v>12</v>
      </c>
      <c r="D591" s="6">
        <v>2024</v>
      </c>
      <c r="E591" s="6">
        <v>2026</v>
      </c>
      <c r="F591" s="8">
        <v>627776</v>
      </c>
    </row>
    <row r="592" spans="1:6" x14ac:dyDescent="0.4">
      <c r="A592" s="6">
        <f t="shared" si="19"/>
        <v>591</v>
      </c>
      <c r="B592" s="6" t="str">
        <f t="shared" si="18"/>
        <v>Policy591</v>
      </c>
      <c r="C592" s="7" t="s">
        <v>12</v>
      </c>
      <c r="D592" s="6">
        <v>2021</v>
      </c>
      <c r="E592" s="6">
        <v>2026</v>
      </c>
      <c r="F592" s="8">
        <v>3428569</v>
      </c>
    </row>
    <row r="593" spans="1:6" x14ac:dyDescent="0.4">
      <c r="A593" s="6">
        <f t="shared" si="19"/>
        <v>592</v>
      </c>
      <c r="B593" s="6" t="str">
        <f t="shared" si="18"/>
        <v>Policy592</v>
      </c>
      <c r="C593" s="7" t="s">
        <v>12</v>
      </c>
      <c r="D593" s="6">
        <v>2023</v>
      </c>
      <c r="E593" s="6">
        <v>2026</v>
      </c>
      <c r="F593" s="8">
        <v>4549238</v>
      </c>
    </row>
    <row r="594" spans="1:6" x14ac:dyDescent="0.4">
      <c r="A594" s="6">
        <f t="shared" si="19"/>
        <v>593</v>
      </c>
      <c r="B594" s="6" t="str">
        <f t="shared" si="18"/>
        <v>Policy593</v>
      </c>
      <c r="C594" s="7" t="s">
        <v>12</v>
      </c>
      <c r="D594" s="6">
        <v>2023</v>
      </c>
      <c r="E594" s="6">
        <v>2024</v>
      </c>
      <c r="F594" s="8">
        <v>4625558</v>
      </c>
    </row>
    <row r="595" spans="1:6" x14ac:dyDescent="0.4">
      <c r="A595" s="6">
        <f t="shared" si="19"/>
        <v>594</v>
      </c>
      <c r="B595" s="6" t="str">
        <f t="shared" si="18"/>
        <v>Policy594</v>
      </c>
      <c r="C595" s="7" t="s">
        <v>12</v>
      </c>
      <c r="D595" s="6">
        <v>2021</v>
      </c>
      <c r="E595" s="6">
        <v>2025</v>
      </c>
      <c r="F595" s="8">
        <v>741998</v>
      </c>
    </row>
    <row r="596" spans="1:6" x14ac:dyDescent="0.4">
      <c r="A596" s="6">
        <f t="shared" si="19"/>
        <v>595</v>
      </c>
      <c r="B596" s="6" t="str">
        <f t="shared" si="18"/>
        <v>Policy595</v>
      </c>
      <c r="C596" s="7" t="s">
        <v>11</v>
      </c>
      <c r="D596" s="6">
        <v>2024</v>
      </c>
      <c r="E596" s="6">
        <v>2025</v>
      </c>
      <c r="F596" s="8">
        <v>36006</v>
      </c>
    </row>
    <row r="597" spans="1:6" x14ac:dyDescent="0.4">
      <c r="A597" s="6">
        <f t="shared" si="19"/>
        <v>596</v>
      </c>
      <c r="B597" s="6" t="str">
        <f t="shared" si="18"/>
        <v>Policy596</v>
      </c>
      <c r="C597" s="7" t="s">
        <v>11</v>
      </c>
      <c r="D597" s="6">
        <v>2024</v>
      </c>
      <c r="E597" s="6">
        <v>2026</v>
      </c>
      <c r="F597" s="8">
        <v>30107</v>
      </c>
    </row>
    <row r="598" spans="1:6" x14ac:dyDescent="0.4">
      <c r="A598" s="6">
        <f t="shared" si="19"/>
        <v>597</v>
      </c>
      <c r="B598" s="6" t="str">
        <f t="shared" si="18"/>
        <v>Policy597</v>
      </c>
      <c r="C598" s="7" t="s">
        <v>11</v>
      </c>
      <c r="D598" s="6">
        <v>2024</v>
      </c>
      <c r="E598" s="6">
        <v>2026</v>
      </c>
      <c r="F598" s="8">
        <v>6902</v>
      </c>
    </row>
    <row r="599" spans="1:6" x14ac:dyDescent="0.4">
      <c r="A599" s="6">
        <f t="shared" si="19"/>
        <v>598</v>
      </c>
      <c r="B599" s="6" t="str">
        <f t="shared" si="18"/>
        <v>Policy598</v>
      </c>
      <c r="C599" s="7" t="s">
        <v>12</v>
      </c>
      <c r="D599" s="6">
        <v>2022</v>
      </c>
      <c r="E599" s="6">
        <v>2024</v>
      </c>
      <c r="F599" s="8">
        <v>820283</v>
      </c>
    </row>
    <row r="600" spans="1:6" x14ac:dyDescent="0.4">
      <c r="A600" s="6">
        <f t="shared" si="19"/>
        <v>599</v>
      </c>
      <c r="B600" s="6" t="str">
        <f t="shared" si="18"/>
        <v>Policy599</v>
      </c>
      <c r="C600" s="7" t="s">
        <v>11</v>
      </c>
      <c r="D600" s="6">
        <v>2024</v>
      </c>
      <c r="E600" s="6">
        <v>2025</v>
      </c>
      <c r="F600" s="8">
        <v>36668</v>
      </c>
    </row>
    <row r="601" spans="1:6" x14ac:dyDescent="0.4">
      <c r="A601" s="6">
        <f t="shared" si="19"/>
        <v>600</v>
      </c>
      <c r="B601" s="6" t="str">
        <f t="shared" si="18"/>
        <v>Policy600</v>
      </c>
      <c r="C601" s="7" t="s">
        <v>12</v>
      </c>
      <c r="D601" s="6">
        <v>2025</v>
      </c>
      <c r="E601" s="6">
        <v>2026</v>
      </c>
      <c r="F601" s="8">
        <v>1086479</v>
      </c>
    </row>
    <row r="602" spans="1:6" x14ac:dyDescent="0.4">
      <c r="A602" s="6">
        <f t="shared" si="19"/>
        <v>601</v>
      </c>
      <c r="B602" s="6" t="str">
        <f t="shared" si="18"/>
        <v>Policy601</v>
      </c>
      <c r="C602" s="7" t="s">
        <v>12</v>
      </c>
      <c r="D602" s="6">
        <v>2025</v>
      </c>
      <c r="E602" s="6">
        <v>2026</v>
      </c>
      <c r="F602" s="8">
        <v>2361626</v>
      </c>
    </row>
    <row r="603" spans="1:6" x14ac:dyDescent="0.4">
      <c r="A603" s="6">
        <f t="shared" si="19"/>
        <v>602</v>
      </c>
      <c r="B603" s="6" t="str">
        <f t="shared" si="18"/>
        <v>Policy602</v>
      </c>
      <c r="C603" s="7" t="s">
        <v>12</v>
      </c>
      <c r="D603" s="6">
        <v>2022</v>
      </c>
      <c r="E603" s="6">
        <v>2023</v>
      </c>
      <c r="F603" s="8">
        <v>4796116</v>
      </c>
    </row>
    <row r="604" spans="1:6" x14ac:dyDescent="0.4">
      <c r="A604" s="6">
        <f t="shared" si="19"/>
        <v>603</v>
      </c>
      <c r="B604" s="6" t="str">
        <f t="shared" si="18"/>
        <v>Policy603</v>
      </c>
      <c r="C604" s="7" t="s">
        <v>11</v>
      </c>
      <c r="D604" s="6">
        <v>2021</v>
      </c>
      <c r="E604" s="6">
        <v>2026</v>
      </c>
      <c r="F604" s="8">
        <v>6467</v>
      </c>
    </row>
    <row r="605" spans="1:6" x14ac:dyDescent="0.4">
      <c r="A605" s="6">
        <f t="shared" si="19"/>
        <v>604</v>
      </c>
      <c r="B605" s="6" t="str">
        <f t="shared" si="18"/>
        <v>Policy604</v>
      </c>
      <c r="C605" s="7" t="s">
        <v>11</v>
      </c>
      <c r="D605" s="6">
        <v>2024</v>
      </c>
      <c r="E605" s="6">
        <v>2026</v>
      </c>
      <c r="F605" s="8">
        <v>20316</v>
      </c>
    </row>
    <row r="606" spans="1:6" x14ac:dyDescent="0.4">
      <c r="A606" s="6">
        <f t="shared" si="19"/>
        <v>605</v>
      </c>
      <c r="B606" s="6" t="str">
        <f t="shared" si="18"/>
        <v>Policy605</v>
      </c>
      <c r="C606" s="7" t="s">
        <v>11</v>
      </c>
      <c r="D606" s="6">
        <v>2023</v>
      </c>
      <c r="E606" s="6">
        <v>2025</v>
      </c>
      <c r="F606" s="8">
        <v>35549</v>
      </c>
    </row>
    <row r="607" spans="1:6" x14ac:dyDescent="0.4">
      <c r="A607" s="6">
        <f t="shared" si="19"/>
        <v>606</v>
      </c>
      <c r="B607" s="6" t="str">
        <f t="shared" si="18"/>
        <v>Policy606</v>
      </c>
      <c r="C607" s="7" t="s">
        <v>12</v>
      </c>
      <c r="D607" s="6">
        <v>2025</v>
      </c>
      <c r="E607" s="6">
        <v>2026</v>
      </c>
      <c r="F607" s="8">
        <v>2352432</v>
      </c>
    </row>
    <row r="608" spans="1:6" x14ac:dyDescent="0.4">
      <c r="A608" s="6">
        <f t="shared" si="19"/>
        <v>607</v>
      </c>
      <c r="B608" s="6" t="str">
        <f t="shared" si="18"/>
        <v>Policy607</v>
      </c>
      <c r="C608" s="7" t="s">
        <v>12</v>
      </c>
      <c r="D608" s="6">
        <v>2024</v>
      </c>
      <c r="E608" s="6">
        <v>2026</v>
      </c>
      <c r="F608" s="8">
        <v>4274865</v>
      </c>
    </row>
    <row r="609" spans="1:6" x14ac:dyDescent="0.4">
      <c r="A609" s="6">
        <f t="shared" si="19"/>
        <v>608</v>
      </c>
      <c r="B609" s="6" t="str">
        <f t="shared" si="18"/>
        <v>Policy608</v>
      </c>
      <c r="C609" s="7" t="s">
        <v>11</v>
      </c>
      <c r="D609" s="6">
        <v>2022</v>
      </c>
      <c r="E609" s="6">
        <v>2024</v>
      </c>
      <c r="F609" s="8">
        <v>28034</v>
      </c>
    </row>
    <row r="610" spans="1:6" x14ac:dyDescent="0.4">
      <c r="A610" s="6">
        <f t="shared" si="19"/>
        <v>609</v>
      </c>
      <c r="B610" s="6" t="str">
        <f t="shared" si="18"/>
        <v>Policy609</v>
      </c>
      <c r="C610" s="7" t="s">
        <v>11</v>
      </c>
      <c r="D610" s="6">
        <v>2024</v>
      </c>
      <c r="E610" s="6">
        <v>2026</v>
      </c>
      <c r="F610" s="8">
        <v>7092</v>
      </c>
    </row>
    <row r="611" spans="1:6" x14ac:dyDescent="0.4">
      <c r="A611" s="6">
        <f t="shared" si="19"/>
        <v>610</v>
      </c>
      <c r="B611" s="6" t="str">
        <f t="shared" si="18"/>
        <v>Policy610</v>
      </c>
      <c r="C611" s="7" t="s">
        <v>11</v>
      </c>
      <c r="D611" s="6">
        <v>2022</v>
      </c>
      <c r="E611" s="6">
        <v>2026</v>
      </c>
      <c r="F611" s="8">
        <v>20963</v>
      </c>
    </row>
    <row r="612" spans="1:6" x14ac:dyDescent="0.4">
      <c r="A612" s="6">
        <f t="shared" si="19"/>
        <v>611</v>
      </c>
      <c r="B612" s="6" t="str">
        <f t="shared" si="18"/>
        <v>Policy611</v>
      </c>
      <c r="C612" s="7" t="s">
        <v>11</v>
      </c>
      <c r="D612" s="6">
        <v>2024</v>
      </c>
      <c r="E612" s="6">
        <v>2025</v>
      </c>
      <c r="F612" s="8">
        <v>25562</v>
      </c>
    </row>
    <row r="613" spans="1:6" x14ac:dyDescent="0.4">
      <c r="A613" s="6">
        <f t="shared" si="19"/>
        <v>612</v>
      </c>
      <c r="B613" s="6" t="str">
        <f t="shared" si="18"/>
        <v>Policy612</v>
      </c>
      <c r="C613" s="7" t="s">
        <v>12</v>
      </c>
      <c r="D613" s="6">
        <v>2022</v>
      </c>
      <c r="E613" s="6">
        <v>2024</v>
      </c>
      <c r="F613" s="8">
        <v>2136650</v>
      </c>
    </row>
    <row r="614" spans="1:6" x14ac:dyDescent="0.4">
      <c r="A614" s="6">
        <f t="shared" si="19"/>
        <v>613</v>
      </c>
      <c r="B614" s="6" t="str">
        <f t="shared" si="18"/>
        <v>Policy613</v>
      </c>
      <c r="C614" s="7" t="s">
        <v>11</v>
      </c>
      <c r="D614" s="6">
        <v>2023</v>
      </c>
      <c r="E614" s="6">
        <v>2024</v>
      </c>
      <c r="F614" s="8">
        <v>49184</v>
      </c>
    </row>
    <row r="615" spans="1:6" x14ac:dyDescent="0.4">
      <c r="A615" s="6">
        <f t="shared" si="19"/>
        <v>614</v>
      </c>
      <c r="B615" s="6" t="str">
        <f t="shared" si="18"/>
        <v>Policy614</v>
      </c>
      <c r="C615" s="7" t="s">
        <v>11</v>
      </c>
      <c r="D615" s="6">
        <v>2024</v>
      </c>
      <c r="E615" s="6">
        <v>2026</v>
      </c>
      <c r="F615" s="8">
        <v>31034</v>
      </c>
    </row>
    <row r="616" spans="1:6" x14ac:dyDescent="0.4">
      <c r="A616" s="6">
        <f t="shared" si="19"/>
        <v>615</v>
      </c>
      <c r="B616" s="6" t="str">
        <f t="shared" si="18"/>
        <v>Policy615</v>
      </c>
      <c r="C616" s="7" t="s">
        <v>11</v>
      </c>
      <c r="D616" s="6">
        <v>2025</v>
      </c>
      <c r="E616" s="6">
        <v>2026</v>
      </c>
      <c r="F616" s="8">
        <v>24100</v>
      </c>
    </row>
    <row r="617" spans="1:6" x14ac:dyDescent="0.4">
      <c r="A617" s="6">
        <f t="shared" si="19"/>
        <v>616</v>
      </c>
      <c r="B617" s="6" t="str">
        <f t="shared" si="18"/>
        <v>Policy616</v>
      </c>
      <c r="C617" s="7" t="s">
        <v>11</v>
      </c>
      <c r="D617" s="6">
        <v>2022</v>
      </c>
      <c r="E617" s="6">
        <v>2023</v>
      </c>
      <c r="F617" s="8">
        <v>39315</v>
      </c>
    </row>
    <row r="618" spans="1:6" x14ac:dyDescent="0.4">
      <c r="A618" s="6">
        <f t="shared" si="19"/>
        <v>617</v>
      </c>
      <c r="B618" s="6" t="str">
        <f t="shared" si="18"/>
        <v>Policy617</v>
      </c>
      <c r="C618" s="7" t="s">
        <v>11</v>
      </c>
      <c r="D618" s="6">
        <v>2022</v>
      </c>
      <c r="E618" s="6">
        <v>2025</v>
      </c>
      <c r="F618" s="8">
        <v>47321</v>
      </c>
    </row>
    <row r="619" spans="1:6" x14ac:dyDescent="0.4">
      <c r="A619" s="6">
        <f t="shared" si="19"/>
        <v>618</v>
      </c>
      <c r="B619" s="6" t="str">
        <f t="shared" si="18"/>
        <v>Policy618</v>
      </c>
      <c r="C619" s="7" t="s">
        <v>11</v>
      </c>
      <c r="D619" s="6">
        <v>2024</v>
      </c>
      <c r="E619" s="6">
        <v>2025</v>
      </c>
      <c r="F619" s="8">
        <v>24251</v>
      </c>
    </row>
    <row r="620" spans="1:6" x14ac:dyDescent="0.4">
      <c r="A620" s="6">
        <f t="shared" si="19"/>
        <v>619</v>
      </c>
      <c r="B620" s="6" t="str">
        <f t="shared" si="18"/>
        <v>Policy619</v>
      </c>
      <c r="C620" s="7" t="s">
        <v>12</v>
      </c>
      <c r="D620" s="6">
        <v>2023</v>
      </c>
      <c r="E620" s="6">
        <v>2025</v>
      </c>
      <c r="F620" s="8">
        <v>3591691</v>
      </c>
    </row>
    <row r="621" spans="1:6" x14ac:dyDescent="0.4">
      <c r="A621" s="6">
        <f t="shared" si="19"/>
        <v>620</v>
      </c>
      <c r="B621" s="6" t="str">
        <f t="shared" si="18"/>
        <v>Policy620</v>
      </c>
      <c r="C621" s="7" t="s">
        <v>12</v>
      </c>
      <c r="D621" s="6">
        <v>2021</v>
      </c>
      <c r="E621" s="6">
        <v>2025</v>
      </c>
      <c r="F621" s="8">
        <v>1434960</v>
      </c>
    </row>
    <row r="622" spans="1:6" x14ac:dyDescent="0.4">
      <c r="A622" s="6">
        <f t="shared" si="19"/>
        <v>621</v>
      </c>
      <c r="B622" s="6" t="str">
        <f t="shared" si="18"/>
        <v>Policy621</v>
      </c>
      <c r="C622" s="7" t="s">
        <v>12</v>
      </c>
      <c r="D622" s="6">
        <v>2022</v>
      </c>
      <c r="E622" s="6">
        <v>2025</v>
      </c>
      <c r="F622" s="8">
        <v>2722196</v>
      </c>
    </row>
    <row r="623" spans="1:6" x14ac:dyDescent="0.4">
      <c r="A623" s="6">
        <f t="shared" si="19"/>
        <v>622</v>
      </c>
      <c r="B623" s="6" t="str">
        <f t="shared" si="18"/>
        <v>Policy622</v>
      </c>
      <c r="C623" s="7" t="s">
        <v>12</v>
      </c>
      <c r="D623" s="6">
        <v>2022</v>
      </c>
      <c r="E623" s="6">
        <v>2024</v>
      </c>
      <c r="F623" s="8">
        <v>1736103</v>
      </c>
    </row>
    <row r="624" spans="1:6" x14ac:dyDescent="0.4">
      <c r="A624" s="6">
        <f t="shared" si="19"/>
        <v>623</v>
      </c>
      <c r="B624" s="6" t="str">
        <f t="shared" si="18"/>
        <v>Policy623</v>
      </c>
      <c r="C624" s="7" t="s">
        <v>11</v>
      </c>
      <c r="D624" s="6">
        <v>2024</v>
      </c>
      <c r="E624" s="6">
        <v>2025</v>
      </c>
      <c r="F624" s="8">
        <v>46533</v>
      </c>
    </row>
    <row r="625" spans="1:6" x14ac:dyDescent="0.4">
      <c r="A625" s="6">
        <f t="shared" si="19"/>
        <v>624</v>
      </c>
      <c r="B625" s="6" t="str">
        <f t="shared" si="18"/>
        <v>Policy624</v>
      </c>
      <c r="C625" s="7" t="s">
        <v>12</v>
      </c>
      <c r="D625" s="6">
        <v>2021</v>
      </c>
      <c r="E625" s="6">
        <v>2023</v>
      </c>
      <c r="F625" s="8">
        <v>4125791</v>
      </c>
    </row>
    <row r="626" spans="1:6" x14ac:dyDescent="0.4">
      <c r="A626" s="6">
        <f t="shared" si="19"/>
        <v>625</v>
      </c>
      <c r="B626" s="6" t="str">
        <f t="shared" si="18"/>
        <v>Policy625</v>
      </c>
      <c r="C626" s="7" t="s">
        <v>12</v>
      </c>
      <c r="D626" s="6">
        <v>2021</v>
      </c>
      <c r="E626" s="6">
        <v>2026</v>
      </c>
      <c r="F626" s="8">
        <v>160937</v>
      </c>
    </row>
    <row r="627" spans="1:6" x14ac:dyDescent="0.4">
      <c r="A627" s="6">
        <f t="shared" si="19"/>
        <v>626</v>
      </c>
      <c r="B627" s="6" t="str">
        <f t="shared" si="18"/>
        <v>Policy626</v>
      </c>
      <c r="C627" s="7" t="s">
        <v>11</v>
      </c>
      <c r="D627" s="6">
        <v>2021</v>
      </c>
      <c r="E627" s="6">
        <v>2024</v>
      </c>
      <c r="F627" s="8">
        <v>1289</v>
      </c>
    </row>
    <row r="628" spans="1:6" x14ac:dyDescent="0.4">
      <c r="A628" s="6">
        <f t="shared" si="19"/>
        <v>627</v>
      </c>
      <c r="B628" s="6" t="str">
        <f t="shared" si="18"/>
        <v>Policy627</v>
      </c>
      <c r="C628" s="7" t="s">
        <v>12</v>
      </c>
      <c r="D628" s="6">
        <v>2022</v>
      </c>
      <c r="E628" s="6">
        <v>2023</v>
      </c>
      <c r="F628" s="8">
        <v>4623739</v>
      </c>
    </row>
    <row r="629" spans="1:6" x14ac:dyDescent="0.4">
      <c r="A629" s="6">
        <f t="shared" si="19"/>
        <v>628</v>
      </c>
      <c r="B629" s="6" t="str">
        <f t="shared" si="18"/>
        <v>Policy628</v>
      </c>
      <c r="C629" s="7" t="s">
        <v>11</v>
      </c>
      <c r="D629" s="6">
        <v>2023</v>
      </c>
      <c r="E629" s="6">
        <v>2026</v>
      </c>
      <c r="F629" s="8">
        <v>21463</v>
      </c>
    </row>
    <row r="630" spans="1:6" x14ac:dyDescent="0.4">
      <c r="A630" s="6">
        <f t="shared" si="19"/>
        <v>629</v>
      </c>
      <c r="B630" s="6" t="str">
        <f t="shared" si="18"/>
        <v>Policy629</v>
      </c>
      <c r="C630" s="7" t="s">
        <v>11</v>
      </c>
      <c r="D630" s="6">
        <v>2022</v>
      </c>
      <c r="E630" s="6">
        <v>2024</v>
      </c>
      <c r="F630" s="8">
        <v>5689</v>
      </c>
    </row>
    <row r="631" spans="1:6" x14ac:dyDescent="0.4">
      <c r="A631" s="6">
        <f t="shared" si="19"/>
        <v>630</v>
      </c>
      <c r="B631" s="6" t="str">
        <f t="shared" si="18"/>
        <v>Policy630</v>
      </c>
      <c r="C631" s="7" t="s">
        <v>12</v>
      </c>
      <c r="D631" s="6">
        <v>2023</v>
      </c>
      <c r="E631" s="6">
        <v>2024</v>
      </c>
      <c r="F631" s="8">
        <v>2208621</v>
      </c>
    </row>
    <row r="632" spans="1:6" x14ac:dyDescent="0.4">
      <c r="A632" s="6">
        <f t="shared" si="19"/>
        <v>631</v>
      </c>
      <c r="B632" s="6" t="str">
        <f t="shared" si="18"/>
        <v>Policy631</v>
      </c>
      <c r="C632" s="7" t="s">
        <v>12</v>
      </c>
      <c r="D632" s="6">
        <v>2021</v>
      </c>
      <c r="E632" s="6">
        <v>2023</v>
      </c>
      <c r="F632" s="8">
        <v>4869292</v>
      </c>
    </row>
    <row r="633" spans="1:6" x14ac:dyDescent="0.4">
      <c r="A633" s="6">
        <f t="shared" si="19"/>
        <v>632</v>
      </c>
      <c r="B633" s="6" t="str">
        <f t="shared" si="18"/>
        <v>Policy632</v>
      </c>
      <c r="C633" s="7" t="s">
        <v>12</v>
      </c>
      <c r="D633" s="6">
        <v>2021</v>
      </c>
      <c r="E633" s="6">
        <v>2022</v>
      </c>
      <c r="F633" s="8">
        <v>4882014</v>
      </c>
    </row>
    <row r="634" spans="1:6" x14ac:dyDescent="0.4">
      <c r="A634" s="6">
        <f t="shared" si="19"/>
        <v>633</v>
      </c>
      <c r="B634" s="6" t="str">
        <f t="shared" si="18"/>
        <v>Policy633</v>
      </c>
      <c r="C634" s="7" t="s">
        <v>12</v>
      </c>
      <c r="D634" s="6">
        <v>2025</v>
      </c>
      <c r="E634" s="6">
        <v>2026</v>
      </c>
      <c r="F634" s="8">
        <v>4753573</v>
      </c>
    </row>
    <row r="635" spans="1:6" x14ac:dyDescent="0.4">
      <c r="A635" s="6">
        <f t="shared" si="19"/>
        <v>634</v>
      </c>
      <c r="B635" s="6" t="str">
        <f t="shared" si="18"/>
        <v>Policy634</v>
      </c>
      <c r="C635" s="7" t="s">
        <v>11</v>
      </c>
      <c r="D635" s="6">
        <v>2021</v>
      </c>
      <c r="E635" s="6">
        <v>2022</v>
      </c>
      <c r="F635" s="8">
        <v>439</v>
      </c>
    </row>
    <row r="636" spans="1:6" x14ac:dyDescent="0.4">
      <c r="A636" s="6">
        <f t="shared" si="19"/>
        <v>635</v>
      </c>
      <c r="B636" s="6" t="str">
        <f t="shared" si="18"/>
        <v>Policy635</v>
      </c>
      <c r="C636" s="7" t="s">
        <v>11</v>
      </c>
      <c r="D636" s="6">
        <v>2022</v>
      </c>
      <c r="E636" s="6">
        <v>2025</v>
      </c>
      <c r="F636" s="8">
        <v>22433</v>
      </c>
    </row>
    <row r="637" spans="1:6" x14ac:dyDescent="0.4">
      <c r="A637" s="6">
        <f t="shared" si="19"/>
        <v>636</v>
      </c>
      <c r="B637" s="6" t="str">
        <f t="shared" si="18"/>
        <v>Policy636</v>
      </c>
      <c r="C637" s="7" t="s">
        <v>11</v>
      </c>
      <c r="D637" s="6">
        <v>2022</v>
      </c>
      <c r="E637" s="6">
        <v>2025</v>
      </c>
      <c r="F637" s="8">
        <v>1720</v>
      </c>
    </row>
    <row r="638" spans="1:6" x14ac:dyDescent="0.4">
      <c r="A638" s="6">
        <f t="shared" si="19"/>
        <v>637</v>
      </c>
      <c r="B638" s="6" t="str">
        <f t="shared" si="18"/>
        <v>Policy637</v>
      </c>
      <c r="C638" s="7" t="s">
        <v>12</v>
      </c>
      <c r="D638" s="6">
        <v>2023</v>
      </c>
      <c r="E638" s="6">
        <v>2026</v>
      </c>
      <c r="F638" s="8">
        <v>4220220</v>
      </c>
    </row>
    <row r="639" spans="1:6" x14ac:dyDescent="0.4">
      <c r="A639" s="6">
        <f t="shared" si="19"/>
        <v>638</v>
      </c>
      <c r="B639" s="6" t="str">
        <f t="shared" si="18"/>
        <v>Policy638</v>
      </c>
      <c r="C639" s="7" t="s">
        <v>11</v>
      </c>
      <c r="D639" s="6">
        <v>2025</v>
      </c>
      <c r="E639" s="6">
        <v>2026</v>
      </c>
      <c r="F639" s="8">
        <v>16310</v>
      </c>
    </row>
    <row r="640" spans="1:6" x14ac:dyDescent="0.4">
      <c r="A640" s="6">
        <f t="shared" si="19"/>
        <v>639</v>
      </c>
      <c r="B640" s="6" t="str">
        <f t="shared" si="18"/>
        <v>Policy639</v>
      </c>
      <c r="C640" s="7" t="s">
        <v>12</v>
      </c>
      <c r="D640" s="6">
        <v>2021</v>
      </c>
      <c r="E640" s="6">
        <v>2023</v>
      </c>
      <c r="F640" s="8">
        <v>4244500</v>
      </c>
    </row>
    <row r="641" spans="1:6" x14ac:dyDescent="0.4">
      <c r="A641" s="6">
        <f t="shared" si="19"/>
        <v>640</v>
      </c>
      <c r="B641" s="6" t="str">
        <f t="shared" si="18"/>
        <v>Policy640</v>
      </c>
      <c r="C641" s="7" t="s">
        <v>12</v>
      </c>
      <c r="D641" s="6">
        <v>2021</v>
      </c>
      <c r="E641" s="6">
        <v>2023</v>
      </c>
      <c r="F641" s="8">
        <v>3614428</v>
      </c>
    </row>
    <row r="642" spans="1:6" x14ac:dyDescent="0.4">
      <c r="A642" s="6">
        <f t="shared" si="19"/>
        <v>641</v>
      </c>
      <c r="B642" s="6" t="str">
        <f t="shared" si="18"/>
        <v>Policy641</v>
      </c>
      <c r="C642" s="7" t="s">
        <v>11</v>
      </c>
      <c r="D642" s="6">
        <v>2024</v>
      </c>
      <c r="E642" s="6">
        <v>2026</v>
      </c>
      <c r="F642" s="8">
        <v>35873</v>
      </c>
    </row>
    <row r="643" spans="1:6" x14ac:dyDescent="0.4">
      <c r="A643" s="6">
        <f t="shared" si="19"/>
        <v>642</v>
      </c>
      <c r="B643" s="6" t="str">
        <f t="shared" ref="B643:B706" si="20">"Policy"&amp;A643</f>
        <v>Policy642</v>
      </c>
      <c r="C643" s="7" t="s">
        <v>12</v>
      </c>
      <c r="D643" s="6">
        <v>2025</v>
      </c>
      <c r="E643" s="6">
        <v>2026</v>
      </c>
      <c r="F643" s="8">
        <v>1625698</v>
      </c>
    </row>
    <row r="644" spans="1:6" x14ac:dyDescent="0.4">
      <c r="A644" s="6">
        <f t="shared" ref="A644:A707" si="21">A643+1</f>
        <v>643</v>
      </c>
      <c r="B644" s="6" t="str">
        <f t="shared" si="20"/>
        <v>Policy643</v>
      </c>
      <c r="C644" s="7" t="s">
        <v>11</v>
      </c>
      <c r="D644" s="6">
        <v>2024</v>
      </c>
      <c r="E644" s="6">
        <v>2026</v>
      </c>
      <c r="F644" s="8">
        <v>29414</v>
      </c>
    </row>
    <row r="645" spans="1:6" x14ac:dyDescent="0.4">
      <c r="A645" s="6">
        <f t="shared" si="21"/>
        <v>644</v>
      </c>
      <c r="B645" s="6" t="str">
        <f t="shared" si="20"/>
        <v>Policy644</v>
      </c>
      <c r="C645" s="7" t="s">
        <v>12</v>
      </c>
      <c r="D645" s="6">
        <v>2022</v>
      </c>
      <c r="E645" s="6">
        <v>2024</v>
      </c>
      <c r="F645" s="8">
        <v>3500184</v>
      </c>
    </row>
    <row r="646" spans="1:6" x14ac:dyDescent="0.4">
      <c r="A646" s="6">
        <f t="shared" si="21"/>
        <v>645</v>
      </c>
      <c r="B646" s="6" t="str">
        <f t="shared" si="20"/>
        <v>Policy645</v>
      </c>
      <c r="C646" s="7" t="s">
        <v>12</v>
      </c>
      <c r="D646" s="6">
        <v>2024</v>
      </c>
      <c r="E646" s="6">
        <v>2025</v>
      </c>
      <c r="F646" s="8">
        <v>4613026</v>
      </c>
    </row>
    <row r="647" spans="1:6" x14ac:dyDescent="0.4">
      <c r="A647" s="6">
        <f t="shared" si="21"/>
        <v>646</v>
      </c>
      <c r="B647" s="6" t="str">
        <f t="shared" si="20"/>
        <v>Policy646</v>
      </c>
      <c r="C647" s="7" t="s">
        <v>12</v>
      </c>
      <c r="D647" s="6">
        <v>2021</v>
      </c>
      <c r="E647" s="6">
        <v>2025</v>
      </c>
      <c r="F647" s="8">
        <v>2563529</v>
      </c>
    </row>
    <row r="648" spans="1:6" x14ac:dyDescent="0.4">
      <c r="A648" s="6">
        <f t="shared" si="21"/>
        <v>647</v>
      </c>
      <c r="B648" s="6" t="str">
        <f t="shared" si="20"/>
        <v>Policy647</v>
      </c>
      <c r="C648" s="7" t="s">
        <v>11</v>
      </c>
      <c r="D648" s="6">
        <v>2021</v>
      </c>
      <c r="E648" s="6">
        <v>2024</v>
      </c>
      <c r="F648" s="8">
        <v>31088</v>
      </c>
    </row>
    <row r="649" spans="1:6" x14ac:dyDescent="0.4">
      <c r="A649" s="6">
        <f t="shared" si="21"/>
        <v>648</v>
      </c>
      <c r="B649" s="6" t="str">
        <f t="shared" si="20"/>
        <v>Policy648</v>
      </c>
      <c r="C649" s="7" t="s">
        <v>11</v>
      </c>
      <c r="D649" s="6">
        <v>2021</v>
      </c>
      <c r="E649" s="6">
        <v>2026</v>
      </c>
      <c r="F649" s="8">
        <v>20467</v>
      </c>
    </row>
    <row r="650" spans="1:6" x14ac:dyDescent="0.4">
      <c r="A650" s="6">
        <f t="shared" si="21"/>
        <v>649</v>
      </c>
      <c r="B650" s="6" t="str">
        <f t="shared" si="20"/>
        <v>Policy649</v>
      </c>
      <c r="C650" s="7" t="s">
        <v>12</v>
      </c>
      <c r="D650" s="6">
        <v>2024</v>
      </c>
      <c r="E650" s="6">
        <v>2025</v>
      </c>
      <c r="F650" s="8">
        <v>588135</v>
      </c>
    </row>
    <row r="651" spans="1:6" x14ac:dyDescent="0.4">
      <c r="A651" s="6">
        <f t="shared" si="21"/>
        <v>650</v>
      </c>
      <c r="B651" s="6" t="str">
        <f t="shared" si="20"/>
        <v>Policy650</v>
      </c>
      <c r="C651" s="7" t="s">
        <v>12</v>
      </c>
      <c r="D651" s="6">
        <v>2022</v>
      </c>
      <c r="E651" s="6">
        <v>2026</v>
      </c>
      <c r="F651" s="8">
        <v>3799724</v>
      </c>
    </row>
    <row r="652" spans="1:6" x14ac:dyDescent="0.4">
      <c r="A652" s="6">
        <f t="shared" si="21"/>
        <v>651</v>
      </c>
      <c r="B652" s="6" t="str">
        <f t="shared" si="20"/>
        <v>Policy651</v>
      </c>
      <c r="C652" s="7" t="s">
        <v>11</v>
      </c>
      <c r="D652" s="6">
        <v>2023</v>
      </c>
      <c r="E652" s="6">
        <v>2025</v>
      </c>
      <c r="F652" s="8">
        <v>4445</v>
      </c>
    </row>
    <row r="653" spans="1:6" x14ac:dyDescent="0.4">
      <c r="A653" s="6">
        <f t="shared" si="21"/>
        <v>652</v>
      </c>
      <c r="B653" s="6" t="str">
        <f t="shared" si="20"/>
        <v>Policy652</v>
      </c>
      <c r="C653" s="7" t="s">
        <v>11</v>
      </c>
      <c r="D653" s="6">
        <v>2021</v>
      </c>
      <c r="E653" s="6">
        <v>2025</v>
      </c>
      <c r="F653" s="8">
        <v>14506</v>
      </c>
    </row>
    <row r="654" spans="1:6" x14ac:dyDescent="0.4">
      <c r="A654" s="6">
        <f t="shared" si="21"/>
        <v>653</v>
      </c>
      <c r="B654" s="6" t="str">
        <f t="shared" si="20"/>
        <v>Policy653</v>
      </c>
      <c r="C654" s="7" t="s">
        <v>11</v>
      </c>
      <c r="D654" s="6">
        <v>2024</v>
      </c>
      <c r="E654" s="6">
        <v>2026</v>
      </c>
      <c r="F654" s="8">
        <v>16465</v>
      </c>
    </row>
    <row r="655" spans="1:6" x14ac:dyDescent="0.4">
      <c r="A655" s="6">
        <f t="shared" si="21"/>
        <v>654</v>
      </c>
      <c r="B655" s="6" t="str">
        <f t="shared" si="20"/>
        <v>Policy654</v>
      </c>
      <c r="C655" s="7" t="s">
        <v>11</v>
      </c>
      <c r="D655" s="6">
        <v>2023</v>
      </c>
      <c r="E655" s="6">
        <v>2025</v>
      </c>
      <c r="F655" s="8">
        <v>48908</v>
      </c>
    </row>
    <row r="656" spans="1:6" x14ac:dyDescent="0.4">
      <c r="A656" s="6">
        <f t="shared" si="21"/>
        <v>655</v>
      </c>
      <c r="B656" s="6" t="str">
        <f t="shared" si="20"/>
        <v>Policy655</v>
      </c>
      <c r="C656" s="7" t="s">
        <v>11</v>
      </c>
      <c r="D656" s="6">
        <v>2021</v>
      </c>
      <c r="E656" s="6">
        <v>2026</v>
      </c>
      <c r="F656" s="8">
        <v>5091</v>
      </c>
    </row>
    <row r="657" spans="1:6" x14ac:dyDescent="0.4">
      <c r="A657" s="6">
        <f t="shared" si="21"/>
        <v>656</v>
      </c>
      <c r="B657" s="6" t="str">
        <f t="shared" si="20"/>
        <v>Policy656</v>
      </c>
      <c r="C657" s="7" t="s">
        <v>11</v>
      </c>
      <c r="D657" s="6">
        <v>2025</v>
      </c>
      <c r="E657" s="6">
        <v>2026</v>
      </c>
      <c r="F657" s="8">
        <v>30482</v>
      </c>
    </row>
    <row r="658" spans="1:6" x14ac:dyDescent="0.4">
      <c r="A658" s="6">
        <f t="shared" si="21"/>
        <v>657</v>
      </c>
      <c r="B658" s="6" t="str">
        <f t="shared" si="20"/>
        <v>Policy657</v>
      </c>
      <c r="C658" s="7" t="s">
        <v>12</v>
      </c>
      <c r="D658" s="6">
        <v>2023</v>
      </c>
      <c r="E658" s="6">
        <v>2026</v>
      </c>
      <c r="F658" s="8">
        <v>368661</v>
      </c>
    </row>
    <row r="659" spans="1:6" x14ac:dyDescent="0.4">
      <c r="A659" s="6">
        <f t="shared" si="21"/>
        <v>658</v>
      </c>
      <c r="B659" s="6" t="str">
        <f t="shared" si="20"/>
        <v>Policy658</v>
      </c>
      <c r="C659" s="7" t="s">
        <v>12</v>
      </c>
      <c r="D659" s="6">
        <v>2021</v>
      </c>
      <c r="E659" s="6">
        <v>2026</v>
      </c>
      <c r="F659" s="8">
        <v>619098</v>
      </c>
    </row>
    <row r="660" spans="1:6" x14ac:dyDescent="0.4">
      <c r="A660" s="6">
        <f t="shared" si="21"/>
        <v>659</v>
      </c>
      <c r="B660" s="6" t="str">
        <f t="shared" si="20"/>
        <v>Policy659</v>
      </c>
      <c r="C660" s="7" t="s">
        <v>12</v>
      </c>
      <c r="D660" s="6">
        <v>2025</v>
      </c>
      <c r="E660" s="6">
        <v>2026</v>
      </c>
      <c r="F660" s="8">
        <v>1357795</v>
      </c>
    </row>
    <row r="661" spans="1:6" x14ac:dyDescent="0.4">
      <c r="A661" s="6">
        <f t="shared" si="21"/>
        <v>660</v>
      </c>
      <c r="B661" s="6" t="str">
        <f t="shared" si="20"/>
        <v>Policy660</v>
      </c>
      <c r="C661" s="7" t="s">
        <v>12</v>
      </c>
      <c r="D661" s="6">
        <v>2021</v>
      </c>
      <c r="E661" s="6">
        <v>2023</v>
      </c>
      <c r="F661" s="8">
        <v>1086586</v>
      </c>
    </row>
    <row r="662" spans="1:6" x14ac:dyDescent="0.4">
      <c r="A662" s="6">
        <f t="shared" si="21"/>
        <v>661</v>
      </c>
      <c r="B662" s="6" t="str">
        <f t="shared" si="20"/>
        <v>Policy661</v>
      </c>
      <c r="C662" s="7" t="s">
        <v>12</v>
      </c>
      <c r="D662" s="6">
        <v>2021</v>
      </c>
      <c r="E662" s="6">
        <v>2026</v>
      </c>
      <c r="F662" s="8">
        <v>109212</v>
      </c>
    </row>
    <row r="663" spans="1:6" x14ac:dyDescent="0.4">
      <c r="A663" s="6">
        <f t="shared" si="21"/>
        <v>662</v>
      </c>
      <c r="B663" s="6" t="str">
        <f t="shared" si="20"/>
        <v>Policy662</v>
      </c>
      <c r="C663" s="7" t="s">
        <v>12</v>
      </c>
      <c r="D663" s="6">
        <v>2025</v>
      </c>
      <c r="E663" s="6">
        <v>2026</v>
      </c>
      <c r="F663" s="8">
        <v>1651109</v>
      </c>
    </row>
    <row r="664" spans="1:6" x14ac:dyDescent="0.4">
      <c r="A664" s="6">
        <f t="shared" si="21"/>
        <v>663</v>
      </c>
      <c r="B664" s="6" t="str">
        <f t="shared" si="20"/>
        <v>Policy663</v>
      </c>
      <c r="C664" s="7" t="s">
        <v>12</v>
      </c>
      <c r="D664" s="6">
        <v>2024</v>
      </c>
      <c r="E664" s="6">
        <v>2025</v>
      </c>
      <c r="F664" s="8">
        <v>2832723</v>
      </c>
    </row>
    <row r="665" spans="1:6" x14ac:dyDescent="0.4">
      <c r="A665" s="6">
        <f t="shared" si="21"/>
        <v>664</v>
      </c>
      <c r="B665" s="6" t="str">
        <f t="shared" si="20"/>
        <v>Policy664</v>
      </c>
      <c r="C665" s="7" t="s">
        <v>11</v>
      </c>
      <c r="D665" s="6">
        <v>2024</v>
      </c>
      <c r="E665" s="6">
        <v>2026</v>
      </c>
      <c r="F665" s="8">
        <v>29409</v>
      </c>
    </row>
    <row r="666" spans="1:6" x14ac:dyDescent="0.4">
      <c r="A666" s="6">
        <f t="shared" si="21"/>
        <v>665</v>
      </c>
      <c r="B666" s="6" t="str">
        <f t="shared" si="20"/>
        <v>Policy665</v>
      </c>
      <c r="C666" s="7" t="s">
        <v>11</v>
      </c>
      <c r="D666" s="6">
        <v>2025</v>
      </c>
      <c r="E666" s="6">
        <v>2026</v>
      </c>
      <c r="F666" s="8">
        <v>19980</v>
      </c>
    </row>
    <row r="667" spans="1:6" x14ac:dyDescent="0.4">
      <c r="A667" s="6">
        <f t="shared" si="21"/>
        <v>666</v>
      </c>
      <c r="B667" s="6" t="str">
        <f t="shared" si="20"/>
        <v>Policy666</v>
      </c>
      <c r="C667" s="7" t="s">
        <v>12</v>
      </c>
      <c r="D667" s="6">
        <v>2021</v>
      </c>
      <c r="E667" s="6">
        <v>2023</v>
      </c>
      <c r="F667" s="8">
        <v>4081497</v>
      </c>
    </row>
    <row r="668" spans="1:6" x14ac:dyDescent="0.4">
      <c r="A668" s="6">
        <f t="shared" si="21"/>
        <v>667</v>
      </c>
      <c r="B668" s="6" t="str">
        <f t="shared" si="20"/>
        <v>Policy667</v>
      </c>
      <c r="C668" s="7" t="s">
        <v>11</v>
      </c>
      <c r="D668" s="6">
        <v>2022</v>
      </c>
      <c r="E668" s="6">
        <v>2024</v>
      </c>
      <c r="F668" s="8">
        <v>1640</v>
      </c>
    </row>
    <row r="669" spans="1:6" x14ac:dyDescent="0.4">
      <c r="A669" s="6">
        <f t="shared" si="21"/>
        <v>668</v>
      </c>
      <c r="B669" s="6" t="str">
        <f t="shared" si="20"/>
        <v>Policy668</v>
      </c>
      <c r="C669" s="7" t="s">
        <v>11</v>
      </c>
      <c r="D669" s="6">
        <v>2023</v>
      </c>
      <c r="E669" s="6">
        <v>2026</v>
      </c>
      <c r="F669" s="8">
        <v>30570</v>
      </c>
    </row>
    <row r="670" spans="1:6" x14ac:dyDescent="0.4">
      <c r="A670" s="6">
        <f t="shared" si="21"/>
        <v>669</v>
      </c>
      <c r="B670" s="6" t="str">
        <f t="shared" si="20"/>
        <v>Policy669</v>
      </c>
      <c r="C670" s="7" t="s">
        <v>11</v>
      </c>
      <c r="D670" s="6">
        <v>2021</v>
      </c>
      <c r="E670" s="6">
        <v>2026</v>
      </c>
      <c r="F670" s="8">
        <v>46642</v>
      </c>
    </row>
    <row r="671" spans="1:6" x14ac:dyDescent="0.4">
      <c r="A671" s="6">
        <f t="shared" si="21"/>
        <v>670</v>
      </c>
      <c r="B671" s="6" t="str">
        <f t="shared" si="20"/>
        <v>Policy670</v>
      </c>
      <c r="C671" s="7" t="s">
        <v>12</v>
      </c>
      <c r="D671" s="6">
        <v>2023</v>
      </c>
      <c r="E671" s="6">
        <v>2025</v>
      </c>
      <c r="F671" s="8">
        <v>4757890</v>
      </c>
    </row>
    <row r="672" spans="1:6" x14ac:dyDescent="0.4">
      <c r="A672" s="6">
        <f t="shared" si="21"/>
        <v>671</v>
      </c>
      <c r="B672" s="6" t="str">
        <f t="shared" si="20"/>
        <v>Policy671</v>
      </c>
      <c r="C672" s="7" t="s">
        <v>12</v>
      </c>
      <c r="D672" s="6">
        <v>2021</v>
      </c>
      <c r="E672" s="6">
        <v>2026</v>
      </c>
      <c r="F672" s="8">
        <v>4092699</v>
      </c>
    </row>
    <row r="673" spans="1:6" x14ac:dyDescent="0.4">
      <c r="A673" s="6">
        <f t="shared" si="21"/>
        <v>672</v>
      </c>
      <c r="B673" s="6" t="str">
        <f t="shared" si="20"/>
        <v>Policy672</v>
      </c>
      <c r="C673" s="7" t="s">
        <v>12</v>
      </c>
      <c r="D673" s="6">
        <v>2024</v>
      </c>
      <c r="E673" s="6">
        <v>2025</v>
      </c>
      <c r="F673" s="8">
        <v>1164519</v>
      </c>
    </row>
    <row r="674" spans="1:6" x14ac:dyDescent="0.4">
      <c r="A674" s="6">
        <f t="shared" si="21"/>
        <v>673</v>
      </c>
      <c r="B674" s="6" t="str">
        <f t="shared" si="20"/>
        <v>Policy673</v>
      </c>
      <c r="C674" s="7" t="s">
        <v>11</v>
      </c>
      <c r="D674" s="6">
        <v>2022</v>
      </c>
      <c r="E674" s="6">
        <v>2023</v>
      </c>
      <c r="F674" s="8">
        <v>24088</v>
      </c>
    </row>
    <row r="675" spans="1:6" x14ac:dyDescent="0.4">
      <c r="A675" s="6">
        <f t="shared" si="21"/>
        <v>674</v>
      </c>
      <c r="B675" s="6" t="str">
        <f t="shared" si="20"/>
        <v>Policy674</v>
      </c>
      <c r="C675" s="7" t="s">
        <v>12</v>
      </c>
      <c r="D675" s="6">
        <v>2025</v>
      </c>
      <c r="E675" s="6">
        <v>2026</v>
      </c>
      <c r="F675" s="8">
        <v>246377</v>
      </c>
    </row>
    <row r="676" spans="1:6" x14ac:dyDescent="0.4">
      <c r="A676" s="6">
        <f t="shared" si="21"/>
        <v>675</v>
      </c>
      <c r="B676" s="6" t="str">
        <f t="shared" si="20"/>
        <v>Policy675</v>
      </c>
      <c r="C676" s="7" t="s">
        <v>11</v>
      </c>
      <c r="D676" s="6">
        <v>2022</v>
      </c>
      <c r="E676" s="6">
        <v>2026</v>
      </c>
      <c r="F676" s="8">
        <v>11976</v>
      </c>
    </row>
    <row r="677" spans="1:6" x14ac:dyDescent="0.4">
      <c r="A677" s="6">
        <f t="shared" si="21"/>
        <v>676</v>
      </c>
      <c r="B677" s="6" t="str">
        <f t="shared" si="20"/>
        <v>Policy676</v>
      </c>
      <c r="C677" s="7" t="s">
        <v>11</v>
      </c>
      <c r="D677" s="6">
        <v>2024</v>
      </c>
      <c r="E677" s="6">
        <v>2025</v>
      </c>
      <c r="F677" s="8">
        <v>34126</v>
      </c>
    </row>
    <row r="678" spans="1:6" x14ac:dyDescent="0.4">
      <c r="A678" s="6">
        <f t="shared" si="21"/>
        <v>677</v>
      </c>
      <c r="B678" s="6" t="str">
        <f t="shared" si="20"/>
        <v>Policy677</v>
      </c>
      <c r="C678" s="7" t="s">
        <v>11</v>
      </c>
      <c r="D678" s="6">
        <v>2024</v>
      </c>
      <c r="E678" s="6">
        <v>2026</v>
      </c>
      <c r="F678" s="8">
        <v>5692</v>
      </c>
    </row>
    <row r="679" spans="1:6" x14ac:dyDescent="0.4">
      <c r="A679" s="6">
        <f t="shared" si="21"/>
        <v>678</v>
      </c>
      <c r="B679" s="6" t="str">
        <f t="shared" si="20"/>
        <v>Policy678</v>
      </c>
      <c r="C679" s="7" t="s">
        <v>11</v>
      </c>
      <c r="D679" s="6">
        <v>2023</v>
      </c>
      <c r="E679" s="6">
        <v>2025</v>
      </c>
      <c r="F679" s="8">
        <v>3208</v>
      </c>
    </row>
    <row r="680" spans="1:6" x14ac:dyDescent="0.4">
      <c r="A680" s="6">
        <f t="shared" si="21"/>
        <v>679</v>
      </c>
      <c r="B680" s="6" t="str">
        <f t="shared" si="20"/>
        <v>Policy679</v>
      </c>
      <c r="C680" s="7" t="s">
        <v>12</v>
      </c>
      <c r="D680" s="6">
        <v>2021</v>
      </c>
      <c r="E680" s="6">
        <v>2023</v>
      </c>
      <c r="F680" s="8">
        <v>217990</v>
      </c>
    </row>
    <row r="681" spans="1:6" x14ac:dyDescent="0.4">
      <c r="A681" s="6">
        <f t="shared" si="21"/>
        <v>680</v>
      </c>
      <c r="B681" s="6" t="str">
        <f t="shared" si="20"/>
        <v>Policy680</v>
      </c>
      <c r="C681" s="7" t="s">
        <v>11</v>
      </c>
      <c r="D681" s="6">
        <v>2025</v>
      </c>
      <c r="E681" s="6">
        <v>2026</v>
      </c>
      <c r="F681" s="8">
        <v>19604</v>
      </c>
    </row>
    <row r="682" spans="1:6" x14ac:dyDescent="0.4">
      <c r="A682" s="6">
        <f t="shared" si="21"/>
        <v>681</v>
      </c>
      <c r="B682" s="6" t="str">
        <f t="shared" si="20"/>
        <v>Policy681</v>
      </c>
      <c r="C682" s="7" t="s">
        <v>12</v>
      </c>
      <c r="D682" s="6">
        <v>2021</v>
      </c>
      <c r="E682" s="6">
        <v>2024</v>
      </c>
      <c r="F682" s="8">
        <v>1288754</v>
      </c>
    </row>
    <row r="683" spans="1:6" x14ac:dyDescent="0.4">
      <c r="A683" s="6">
        <f t="shared" si="21"/>
        <v>682</v>
      </c>
      <c r="B683" s="6" t="str">
        <f t="shared" si="20"/>
        <v>Policy682</v>
      </c>
      <c r="C683" s="7" t="s">
        <v>12</v>
      </c>
      <c r="D683" s="6">
        <v>2024</v>
      </c>
      <c r="E683" s="6">
        <v>2026</v>
      </c>
      <c r="F683" s="8">
        <v>937870</v>
      </c>
    </row>
    <row r="684" spans="1:6" x14ac:dyDescent="0.4">
      <c r="A684" s="6">
        <f t="shared" si="21"/>
        <v>683</v>
      </c>
      <c r="B684" s="6" t="str">
        <f t="shared" si="20"/>
        <v>Policy683</v>
      </c>
      <c r="C684" s="7" t="s">
        <v>11</v>
      </c>
      <c r="D684" s="6">
        <v>2025</v>
      </c>
      <c r="E684" s="6">
        <v>2026</v>
      </c>
      <c r="F684" s="8">
        <v>15845</v>
      </c>
    </row>
    <row r="685" spans="1:6" x14ac:dyDescent="0.4">
      <c r="A685" s="6">
        <f t="shared" si="21"/>
        <v>684</v>
      </c>
      <c r="B685" s="6" t="str">
        <f t="shared" si="20"/>
        <v>Policy684</v>
      </c>
      <c r="C685" s="7" t="s">
        <v>12</v>
      </c>
      <c r="D685" s="6">
        <v>2025</v>
      </c>
      <c r="E685" s="6">
        <v>2026</v>
      </c>
      <c r="F685" s="8">
        <v>4949705</v>
      </c>
    </row>
    <row r="686" spans="1:6" x14ac:dyDescent="0.4">
      <c r="A686" s="6">
        <f t="shared" si="21"/>
        <v>685</v>
      </c>
      <c r="B686" s="6" t="str">
        <f t="shared" si="20"/>
        <v>Policy685</v>
      </c>
      <c r="C686" s="7" t="s">
        <v>11</v>
      </c>
      <c r="D686" s="6">
        <v>2025</v>
      </c>
      <c r="E686" s="6">
        <v>2026</v>
      </c>
      <c r="F686" s="8">
        <v>26000</v>
      </c>
    </row>
    <row r="687" spans="1:6" x14ac:dyDescent="0.4">
      <c r="A687" s="6">
        <f t="shared" si="21"/>
        <v>686</v>
      </c>
      <c r="B687" s="6" t="str">
        <f t="shared" si="20"/>
        <v>Policy686</v>
      </c>
      <c r="C687" s="7" t="s">
        <v>12</v>
      </c>
      <c r="D687" s="6">
        <v>2025</v>
      </c>
      <c r="E687" s="6">
        <v>2026</v>
      </c>
      <c r="F687" s="8">
        <v>1940954</v>
      </c>
    </row>
    <row r="688" spans="1:6" x14ac:dyDescent="0.4">
      <c r="A688" s="6">
        <f t="shared" si="21"/>
        <v>687</v>
      </c>
      <c r="B688" s="6" t="str">
        <f t="shared" si="20"/>
        <v>Policy687</v>
      </c>
      <c r="C688" s="7" t="s">
        <v>12</v>
      </c>
      <c r="D688" s="6">
        <v>2023</v>
      </c>
      <c r="E688" s="6">
        <v>2025</v>
      </c>
      <c r="F688" s="8">
        <v>2139928</v>
      </c>
    </row>
    <row r="689" spans="1:6" x14ac:dyDescent="0.4">
      <c r="A689" s="6">
        <f t="shared" si="21"/>
        <v>688</v>
      </c>
      <c r="B689" s="6" t="str">
        <f t="shared" si="20"/>
        <v>Policy688</v>
      </c>
      <c r="C689" s="7" t="s">
        <v>11</v>
      </c>
      <c r="D689" s="6">
        <v>2025</v>
      </c>
      <c r="E689" s="6">
        <v>2026</v>
      </c>
      <c r="F689" s="8">
        <v>13820</v>
      </c>
    </row>
    <row r="690" spans="1:6" x14ac:dyDescent="0.4">
      <c r="A690" s="6">
        <f t="shared" si="21"/>
        <v>689</v>
      </c>
      <c r="B690" s="6" t="str">
        <f t="shared" si="20"/>
        <v>Policy689</v>
      </c>
      <c r="C690" s="7" t="s">
        <v>11</v>
      </c>
      <c r="D690" s="6">
        <v>2022</v>
      </c>
      <c r="E690" s="6">
        <v>2025</v>
      </c>
      <c r="F690" s="8">
        <v>21348</v>
      </c>
    </row>
    <row r="691" spans="1:6" x14ac:dyDescent="0.4">
      <c r="A691" s="6">
        <f t="shared" si="21"/>
        <v>690</v>
      </c>
      <c r="B691" s="6" t="str">
        <f t="shared" si="20"/>
        <v>Policy690</v>
      </c>
      <c r="C691" s="7" t="s">
        <v>12</v>
      </c>
      <c r="D691" s="6">
        <v>2022</v>
      </c>
      <c r="E691" s="6">
        <v>2023</v>
      </c>
      <c r="F691" s="8">
        <v>3430548</v>
      </c>
    </row>
    <row r="692" spans="1:6" x14ac:dyDescent="0.4">
      <c r="A692" s="6">
        <f t="shared" si="21"/>
        <v>691</v>
      </c>
      <c r="B692" s="6" t="str">
        <f t="shared" si="20"/>
        <v>Policy691</v>
      </c>
      <c r="C692" s="7" t="s">
        <v>12</v>
      </c>
      <c r="D692" s="6">
        <v>2025</v>
      </c>
      <c r="E692" s="6">
        <v>2026</v>
      </c>
      <c r="F692" s="8">
        <v>1179647</v>
      </c>
    </row>
    <row r="693" spans="1:6" x14ac:dyDescent="0.4">
      <c r="A693" s="6">
        <f t="shared" si="21"/>
        <v>692</v>
      </c>
      <c r="B693" s="6" t="str">
        <f t="shared" si="20"/>
        <v>Policy692</v>
      </c>
      <c r="C693" s="7" t="s">
        <v>12</v>
      </c>
      <c r="D693" s="6">
        <v>2025</v>
      </c>
      <c r="E693" s="6">
        <v>2026</v>
      </c>
      <c r="F693" s="8">
        <v>2732969</v>
      </c>
    </row>
    <row r="694" spans="1:6" x14ac:dyDescent="0.4">
      <c r="A694" s="6">
        <f t="shared" si="21"/>
        <v>693</v>
      </c>
      <c r="B694" s="6" t="str">
        <f t="shared" si="20"/>
        <v>Policy693</v>
      </c>
      <c r="C694" s="7" t="s">
        <v>11</v>
      </c>
      <c r="D694" s="6">
        <v>2025</v>
      </c>
      <c r="E694" s="6">
        <v>2026</v>
      </c>
      <c r="F694" s="8">
        <v>38142</v>
      </c>
    </row>
    <row r="695" spans="1:6" x14ac:dyDescent="0.4">
      <c r="A695" s="6">
        <f t="shared" si="21"/>
        <v>694</v>
      </c>
      <c r="B695" s="6" t="str">
        <f t="shared" si="20"/>
        <v>Policy694</v>
      </c>
      <c r="C695" s="7" t="s">
        <v>12</v>
      </c>
      <c r="D695" s="6">
        <v>2023</v>
      </c>
      <c r="E695" s="6">
        <v>2024</v>
      </c>
      <c r="F695" s="8">
        <v>4655333</v>
      </c>
    </row>
    <row r="696" spans="1:6" x14ac:dyDescent="0.4">
      <c r="A696" s="6">
        <f t="shared" si="21"/>
        <v>695</v>
      </c>
      <c r="B696" s="6" t="str">
        <f t="shared" si="20"/>
        <v>Policy695</v>
      </c>
      <c r="C696" s="7" t="s">
        <v>11</v>
      </c>
      <c r="D696" s="6">
        <v>2021</v>
      </c>
      <c r="E696" s="6">
        <v>2024</v>
      </c>
      <c r="F696" s="8">
        <v>9619</v>
      </c>
    </row>
    <row r="697" spans="1:6" x14ac:dyDescent="0.4">
      <c r="A697" s="6">
        <f t="shared" si="21"/>
        <v>696</v>
      </c>
      <c r="B697" s="6" t="str">
        <f t="shared" si="20"/>
        <v>Policy696</v>
      </c>
      <c r="C697" s="7" t="s">
        <v>11</v>
      </c>
      <c r="D697" s="6">
        <v>2021</v>
      </c>
      <c r="E697" s="6">
        <v>2026</v>
      </c>
      <c r="F697" s="8">
        <v>1632</v>
      </c>
    </row>
    <row r="698" spans="1:6" x14ac:dyDescent="0.4">
      <c r="A698" s="6">
        <f t="shared" si="21"/>
        <v>697</v>
      </c>
      <c r="B698" s="6" t="str">
        <f t="shared" si="20"/>
        <v>Policy697</v>
      </c>
      <c r="C698" s="7" t="s">
        <v>11</v>
      </c>
      <c r="D698" s="6">
        <v>2023</v>
      </c>
      <c r="E698" s="6">
        <v>2024</v>
      </c>
      <c r="F698" s="8">
        <v>12062</v>
      </c>
    </row>
    <row r="699" spans="1:6" x14ac:dyDescent="0.4">
      <c r="A699" s="6">
        <f t="shared" si="21"/>
        <v>698</v>
      </c>
      <c r="B699" s="6" t="str">
        <f t="shared" si="20"/>
        <v>Policy698</v>
      </c>
      <c r="C699" s="7" t="s">
        <v>11</v>
      </c>
      <c r="D699" s="6">
        <v>2021</v>
      </c>
      <c r="E699" s="6">
        <v>2026</v>
      </c>
      <c r="F699" s="8">
        <v>26244</v>
      </c>
    </row>
    <row r="700" spans="1:6" x14ac:dyDescent="0.4">
      <c r="A700" s="6">
        <f t="shared" si="21"/>
        <v>699</v>
      </c>
      <c r="B700" s="6" t="str">
        <f t="shared" si="20"/>
        <v>Policy699</v>
      </c>
      <c r="C700" s="7" t="s">
        <v>11</v>
      </c>
      <c r="D700" s="6">
        <v>2024</v>
      </c>
      <c r="E700" s="6">
        <v>2025</v>
      </c>
      <c r="F700" s="8">
        <v>379</v>
      </c>
    </row>
    <row r="701" spans="1:6" x14ac:dyDescent="0.4">
      <c r="A701" s="6">
        <f t="shared" si="21"/>
        <v>700</v>
      </c>
      <c r="B701" s="6" t="str">
        <f t="shared" si="20"/>
        <v>Policy700</v>
      </c>
      <c r="C701" s="7" t="s">
        <v>11</v>
      </c>
      <c r="D701" s="6">
        <v>2024</v>
      </c>
      <c r="E701" s="6">
        <v>2025</v>
      </c>
      <c r="F701" s="8">
        <v>45658</v>
      </c>
    </row>
    <row r="702" spans="1:6" x14ac:dyDescent="0.4">
      <c r="A702" s="6">
        <f t="shared" si="21"/>
        <v>701</v>
      </c>
      <c r="B702" s="6" t="str">
        <f t="shared" si="20"/>
        <v>Policy701</v>
      </c>
      <c r="C702" s="7" t="s">
        <v>11</v>
      </c>
      <c r="D702" s="6">
        <v>2021</v>
      </c>
      <c r="E702" s="6">
        <v>2022</v>
      </c>
      <c r="F702" s="8">
        <v>27144</v>
      </c>
    </row>
    <row r="703" spans="1:6" x14ac:dyDescent="0.4">
      <c r="A703" s="6">
        <f t="shared" si="21"/>
        <v>702</v>
      </c>
      <c r="B703" s="6" t="str">
        <f t="shared" si="20"/>
        <v>Policy702</v>
      </c>
      <c r="C703" s="7" t="s">
        <v>12</v>
      </c>
      <c r="D703" s="6">
        <v>2023</v>
      </c>
      <c r="E703" s="6">
        <v>2025</v>
      </c>
      <c r="F703" s="8">
        <v>4990409</v>
      </c>
    </row>
    <row r="704" spans="1:6" x14ac:dyDescent="0.4">
      <c r="A704" s="6">
        <f t="shared" si="21"/>
        <v>703</v>
      </c>
      <c r="B704" s="6" t="str">
        <f t="shared" si="20"/>
        <v>Policy703</v>
      </c>
      <c r="C704" s="7" t="s">
        <v>12</v>
      </c>
      <c r="D704" s="6">
        <v>2025</v>
      </c>
      <c r="E704" s="6">
        <v>2026</v>
      </c>
      <c r="F704" s="8">
        <v>4834712</v>
      </c>
    </row>
    <row r="705" spans="1:6" x14ac:dyDescent="0.4">
      <c r="A705" s="6">
        <f t="shared" si="21"/>
        <v>704</v>
      </c>
      <c r="B705" s="6" t="str">
        <f t="shared" si="20"/>
        <v>Policy704</v>
      </c>
      <c r="C705" s="7" t="s">
        <v>11</v>
      </c>
      <c r="D705" s="6">
        <v>2024</v>
      </c>
      <c r="E705" s="6">
        <v>2026</v>
      </c>
      <c r="F705" s="8">
        <v>30282</v>
      </c>
    </row>
    <row r="706" spans="1:6" x14ac:dyDescent="0.4">
      <c r="A706" s="6">
        <f t="shared" si="21"/>
        <v>705</v>
      </c>
      <c r="B706" s="6" t="str">
        <f t="shared" si="20"/>
        <v>Policy705</v>
      </c>
      <c r="C706" s="7" t="s">
        <v>12</v>
      </c>
      <c r="D706" s="6">
        <v>2021</v>
      </c>
      <c r="E706" s="6">
        <v>2022</v>
      </c>
      <c r="F706" s="8">
        <v>110462</v>
      </c>
    </row>
    <row r="707" spans="1:6" x14ac:dyDescent="0.4">
      <c r="A707" s="6">
        <f t="shared" si="21"/>
        <v>706</v>
      </c>
      <c r="B707" s="6" t="str">
        <f t="shared" ref="B707:B770" si="22">"Policy"&amp;A707</f>
        <v>Policy706</v>
      </c>
      <c r="C707" s="7" t="s">
        <v>12</v>
      </c>
      <c r="D707" s="6">
        <v>2025</v>
      </c>
      <c r="E707" s="6">
        <v>2026</v>
      </c>
      <c r="F707" s="8">
        <v>4038568</v>
      </c>
    </row>
    <row r="708" spans="1:6" x14ac:dyDescent="0.4">
      <c r="A708" s="6">
        <f t="shared" ref="A708:A771" si="23">A707+1</f>
        <v>707</v>
      </c>
      <c r="B708" s="6" t="str">
        <f t="shared" si="22"/>
        <v>Policy707</v>
      </c>
      <c r="C708" s="7" t="s">
        <v>11</v>
      </c>
      <c r="D708" s="6">
        <v>2023</v>
      </c>
      <c r="E708" s="6">
        <v>2026</v>
      </c>
      <c r="F708" s="8">
        <v>1393</v>
      </c>
    </row>
    <row r="709" spans="1:6" x14ac:dyDescent="0.4">
      <c r="A709" s="6">
        <f t="shared" si="23"/>
        <v>708</v>
      </c>
      <c r="B709" s="6" t="str">
        <f t="shared" si="22"/>
        <v>Policy708</v>
      </c>
      <c r="C709" s="7" t="s">
        <v>11</v>
      </c>
      <c r="D709" s="6">
        <v>2024</v>
      </c>
      <c r="E709" s="6">
        <v>2026</v>
      </c>
      <c r="F709" s="8">
        <v>22395</v>
      </c>
    </row>
    <row r="710" spans="1:6" x14ac:dyDescent="0.4">
      <c r="A710" s="6">
        <f t="shared" si="23"/>
        <v>709</v>
      </c>
      <c r="B710" s="6" t="str">
        <f t="shared" si="22"/>
        <v>Policy709</v>
      </c>
      <c r="C710" s="7" t="s">
        <v>11</v>
      </c>
      <c r="D710" s="6">
        <v>2021</v>
      </c>
      <c r="E710" s="6">
        <v>2023</v>
      </c>
      <c r="F710" s="8">
        <v>49507</v>
      </c>
    </row>
    <row r="711" spans="1:6" x14ac:dyDescent="0.4">
      <c r="A711" s="6">
        <f t="shared" si="23"/>
        <v>710</v>
      </c>
      <c r="B711" s="6" t="str">
        <f t="shared" si="22"/>
        <v>Policy710</v>
      </c>
      <c r="C711" s="7" t="s">
        <v>11</v>
      </c>
      <c r="D711" s="6">
        <v>2021</v>
      </c>
      <c r="E711" s="6">
        <v>2024</v>
      </c>
      <c r="F711" s="8">
        <v>9270</v>
      </c>
    </row>
    <row r="712" spans="1:6" x14ac:dyDescent="0.4">
      <c r="A712" s="6">
        <f t="shared" si="23"/>
        <v>711</v>
      </c>
      <c r="B712" s="6" t="str">
        <f t="shared" si="22"/>
        <v>Policy711</v>
      </c>
      <c r="C712" s="7" t="s">
        <v>11</v>
      </c>
      <c r="D712" s="6">
        <v>2022</v>
      </c>
      <c r="E712" s="6">
        <v>2026</v>
      </c>
      <c r="F712" s="8">
        <v>11309</v>
      </c>
    </row>
    <row r="713" spans="1:6" x14ac:dyDescent="0.4">
      <c r="A713" s="6">
        <f t="shared" si="23"/>
        <v>712</v>
      </c>
      <c r="B713" s="6" t="str">
        <f t="shared" si="22"/>
        <v>Policy712</v>
      </c>
      <c r="C713" s="7" t="s">
        <v>12</v>
      </c>
      <c r="D713" s="6">
        <v>2021</v>
      </c>
      <c r="E713" s="6">
        <v>2025</v>
      </c>
      <c r="F713" s="8">
        <v>1017693</v>
      </c>
    </row>
    <row r="714" spans="1:6" x14ac:dyDescent="0.4">
      <c r="A714" s="6">
        <f t="shared" si="23"/>
        <v>713</v>
      </c>
      <c r="B714" s="6" t="str">
        <f t="shared" si="22"/>
        <v>Policy713</v>
      </c>
      <c r="C714" s="7" t="s">
        <v>12</v>
      </c>
      <c r="D714" s="6">
        <v>2022</v>
      </c>
      <c r="E714" s="6">
        <v>2026</v>
      </c>
      <c r="F714" s="8">
        <v>461650</v>
      </c>
    </row>
    <row r="715" spans="1:6" x14ac:dyDescent="0.4">
      <c r="A715" s="6">
        <f t="shared" si="23"/>
        <v>714</v>
      </c>
      <c r="B715" s="6" t="str">
        <f t="shared" si="22"/>
        <v>Policy714</v>
      </c>
      <c r="C715" s="7" t="s">
        <v>11</v>
      </c>
      <c r="D715" s="6">
        <v>2023</v>
      </c>
      <c r="E715" s="6">
        <v>2025</v>
      </c>
      <c r="F715" s="8">
        <v>39010</v>
      </c>
    </row>
    <row r="716" spans="1:6" x14ac:dyDescent="0.4">
      <c r="A716" s="6">
        <f t="shared" si="23"/>
        <v>715</v>
      </c>
      <c r="B716" s="6" t="str">
        <f t="shared" si="22"/>
        <v>Policy715</v>
      </c>
      <c r="C716" s="7" t="s">
        <v>12</v>
      </c>
      <c r="D716" s="6">
        <v>2024</v>
      </c>
      <c r="E716" s="6">
        <v>2026</v>
      </c>
      <c r="F716" s="8">
        <v>2327451</v>
      </c>
    </row>
    <row r="717" spans="1:6" x14ac:dyDescent="0.4">
      <c r="A717" s="6">
        <f t="shared" si="23"/>
        <v>716</v>
      </c>
      <c r="B717" s="6" t="str">
        <f t="shared" si="22"/>
        <v>Policy716</v>
      </c>
      <c r="C717" s="7" t="s">
        <v>11</v>
      </c>
      <c r="D717" s="6">
        <v>2023</v>
      </c>
      <c r="E717" s="6">
        <v>2026</v>
      </c>
      <c r="F717" s="8">
        <v>4402</v>
      </c>
    </row>
    <row r="718" spans="1:6" x14ac:dyDescent="0.4">
      <c r="A718" s="6">
        <f t="shared" si="23"/>
        <v>717</v>
      </c>
      <c r="B718" s="6" t="str">
        <f t="shared" si="22"/>
        <v>Policy717</v>
      </c>
      <c r="C718" s="7" t="s">
        <v>12</v>
      </c>
      <c r="D718" s="6">
        <v>2025</v>
      </c>
      <c r="E718" s="6">
        <v>2026</v>
      </c>
      <c r="F718" s="8">
        <v>4796457</v>
      </c>
    </row>
    <row r="719" spans="1:6" x14ac:dyDescent="0.4">
      <c r="A719" s="6">
        <f t="shared" si="23"/>
        <v>718</v>
      </c>
      <c r="B719" s="6" t="str">
        <f t="shared" si="22"/>
        <v>Policy718</v>
      </c>
      <c r="C719" s="7" t="s">
        <v>12</v>
      </c>
      <c r="D719" s="6">
        <v>2024</v>
      </c>
      <c r="E719" s="6">
        <v>2025</v>
      </c>
      <c r="F719" s="8">
        <v>618599</v>
      </c>
    </row>
    <row r="720" spans="1:6" x14ac:dyDescent="0.4">
      <c r="A720" s="6">
        <f t="shared" si="23"/>
        <v>719</v>
      </c>
      <c r="B720" s="6" t="str">
        <f t="shared" si="22"/>
        <v>Policy719</v>
      </c>
      <c r="C720" s="7" t="s">
        <v>12</v>
      </c>
      <c r="D720" s="6">
        <v>2024</v>
      </c>
      <c r="E720" s="6">
        <v>2025</v>
      </c>
      <c r="F720" s="8">
        <v>1020703</v>
      </c>
    </row>
    <row r="721" spans="1:6" x14ac:dyDescent="0.4">
      <c r="A721" s="6">
        <f t="shared" si="23"/>
        <v>720</v>
      </c>
      <c r="B721" s="6" t="str">
        <f t="shared" si="22"/>
        <v>Policy720</v>
      </c>
      <c r="C721" s="7" t="s">
        <v>12</v>
      </c>
      <c r="D721" s="6">
        <v>2024</v>
      </c>
      <c r="E721" s="6">
        <v>2025</v>
      </c>
      <c r="F721" s="8">
        <v>2378717</v>
      </c>
    </row>
    <row r="722" spans="1:6" x14ac:dyDescent="0.4">
      <c r="A722" s="6">
        <f t="shared" si="23"/>
        <v>721</v>
      </c>
      <c r="B722" s="6" t="str">
        <f t="shared" si="22"/>
        <v>Policy721</v>
      </c>
      <c r="C722" s="7" t="s">
        <v>11</v>
      </c>
      <c r="D722" s="6">
        <v>2025</v>
      </c>
      <c r="E722" s="6">
        <v>2026</v>
      </c>
      <c r="F722" s="8">
        <v>37221</v>
      </c>
    </row>
    <row r="723" spans="1:6" x14ac:dyDescent="0.4">
      <c r="A723" s="6">
        <f t="shared" si="23"/>
        <v>722</v>
      </c>
      <c r="B723" s="6" t="str">
        <f t="shared" si="22"/>
        <v>Policy722</v>
      </c>
      <c r="C723" s="7" t="s">
        <v>12</v>
      </c>
      <c r="D723" s="6">
        <v>2025</v>
      </c>
      <c r="E723" s="6">
        <v>2026</v>
      </c>
      <c r="F723" s="8">
        <v>1018400</v>
      </c>
    </row>
    <row r="724" spans="1:6" x14ac:dyDescent="0.4">
      <c r="A724" s="6">
        <f t="shared" si="23"/>
        <v>723</v>
      </c>
      <c r="B724" s="6" t="str">
        <f t="shared" si="22"/>
        <v>Policy723</v>
      </c>
      <c r="C724" s="7" t="s">
        <v>11</v>
      </c>
      <c r="D724" s="6">
        <v>2023</v>
      </c>
      <c r="E724" s="6">
        <v>2025</v>
      </c>
      <c r="F724" s="8">
        <v>2318</v>
      </c>
    </row>
    <row r="725" spans="1:6" x14ac:dyDescent="0.4">
      <c r="A725" s="6">
        <f t="shared" si="23"/>
        <v>724</v>
      </c>
      <c r="B725" s="6" t="str">
        <f t="shared" si="22"/>
        <v>Policy724</v>
      </c>
      <c r="C725" s="7" t="s">
        <v>11</v>
      </c>
      <c r="D725" s="6">
        <v>2023</v>
      </c>
      <c r="E725" s="6">
        <v>2026</v>
      </c>
      <c r="F725" s="8">
        <v>24559</v>
      </c>
    </row>
    <row r="726" spans="1:6" x14ac:dyDescent="0.4">
      <c r="A726" s="6">
        <f t="shared" si="23"/>
        <v>725</v>
      </c>
      <c r="B726" s="6" t="str">
        <f t="shared" si="22"/>
        <v>Policy725</v>
      </c>
      <c r="C726" s="7" t="s">
        <v>12</v>
      </c>
      <c r="D726" s="6">
        <v>2023</v>
      </c>
      <c r="E726" s="6">
        <v>2025</v>
      </c>
      <c r="F726" s="8">
        <v>644613</v>
      </c>
    </row>
    <row r="727" spans="1:6" x14ac:dyDescent="0.4">
      <c r="A727" s="6">
        <f t="shared" si="23"/>
        <v>726</v>
      </c>
      <c r="B727" s="6" t="str">
        <f t="shared" si="22"/>
        <v>Policy726</v>
      </c>
      <c r="C727" s="7" t="s">
        <v>11</v>
      </c>
      <c r="D727" s="6">
        <v>2025</v>
      </c>
      <c r="E727" s="6">
        <v>2026</v>
      </c>
      <c r="F727" s="8">
        <v>34647</v>
      </c>
    </row>
    <row r="728" spans="1:6" x14ac:dyDescent="0.4">
      <c r="A728" s="6">
        <f t="shared" si="23"/>
        <v>727</v>
      </c>
      <c r="B728" s="6" t="str">
        <f t="shared" si="22"/>
        <v>Policy727</v>
      </c>
      <c r="C728" s="7" t="s">
        <v>12</v>
      </c>
      <c r="D728" s="6">
        <v>2023</v>
      </c>
      <c r="E728" s="6">
        <v>2025</v>
      </c>
      <c r="F728" s="8">
        <v>910817</v>
      </c>
    </row>
    <row r="729" spans="1:6" x14ac:dyDescent="0.4">
      <c r="A729" s="6">
        <f t="shared" si="23"/>
        <v>728</v>
      </c>
      <c r="B729" s="6" t="str">
        <f t="shared" si="22"/>
        <v>Policy728</v>
      </c>
      <c r="C729" s="7" t="s">
        <v>11</v>
      </c>
      <c r="D729" s="6">
        <v>2022</v>
      </c>
      <c r="E729" s="6">
        <v>2026</v>
      </c>
      <c r="F729" s="8">
        <v>22109</v>
      </c>
    </row>
    <row r="730" spans="1:6" x14ac:dyDescent="0.4">
      <c r="A730" s="6">
        <f t="shared" si="23"/>
        <v>729</v>
      </c>
      <c r="B730" s="6" t="str">
        <f t="shared" si="22"/>
        <v>Policy729</v>
      </c>
      <c r="C730" s="7" t="s">
        <v>11</v>
      </c>
      <c r="D730" s="6">
        <v>2023</v>
      </c>
      <c r="E730" s="6">
        <v>2026</v>
      </c>
      <c r="F730" s="8">
        <v>29648</v>
      </c>
    </row>
    <row r="731" spans="1:6" x14ac:dyDescent="0.4">
      <c r="A731" s="6">
        <f t="shared" si="23"/>
        <v>730</v>
      </c>
      <c r="B731" s="6" t="str">
        <f t="shared" si="22"/>
        <v>Policy730</v>
      </c>
      <c r="C731" s="7" t="s">
        <v>12</v>
      </c>
      <c r="D731" s="6">
        <v>2023</v>
      </c>
      <c r="E731" s="6">
        <v>2026</v>
      </c>
      <c r="F731" s="8">
        <v>3494803</v>
      </c>
    </row>
    <row r="732" spans="1:6" x14ac:dyDescent="0.4">
      <c r="A732" s="6">
        <f t="shared" si="23"/>
        <v>731</v>
      </c>
      <c r="B732" s="6" t="str">
        <f t="shared" si="22"/>
        <v>Policy731</v>
      </c>
      <c r="C732" s="7" t="s">
        <v>12</v>
      </c>
      <c r="D732" s="6">
        <v>2025</v>
      </c>
      <c r="E732" s="6">
        <v>2026</v>
      </c>
      <c r="F732" s="8">
        <v>899307</v>
      </c>
    </row>
    <row r="733" spans="1:6" x14ac:dyDescent="0.4">
      <c r="A733" s="6">
        <f t="shared" si="23"/>
        <v>732</v>
      </c>
      <c r="B733" s="6" t="str">
        <f t="shared" si="22"/>
        <v>Policy732</v>
      </c>
      <c r="C733" s="7" t="s">
        <v>11</v>
      </c>
      <c r="D733" s="6">
        <v>2025</v>
      </c>
      <c r="E733" s="6">
        <v>2026</v>
      </c>
      <c r="F733" s="8">
        <v>4181</v>
      </c>
    </row>
    <row r="734" spans="1:6" x14ac:dyDescent="0.4">
      <c r="A734" s="6">
        <f t="shared" si="23"/>
        <v>733</v>
      </c>
      <c r="B734" s="6" t="str">
        <f t="shared" si="22"/>
        <v>Policy733</v>
      </c>
      <c r="C734" s="7" t="s">
        <v>11</v>
      </c>
      <c r="D734" s="6">
        <v>2021</v>
      </c>
      <c r="E734" s="6">
        <v>2026</v>
      </c>
      <c r="F734" s="8">
        <v>1536</v>
      </c>
    </row>
    <row r="735" spans="1:6" x14ac:dyDescent="0.4">
      <c r="A735" s="6">
        <f t="shared" si="23"/>
        <v>734</v>
      </c>
      <c r="B735" s="6" t="str">
        <f t="shared" si="22"/>
        <v>Policy734</v>
      </c>
      <c r="C735" s="7" t="s">
        <v>11</v>
      </c>
      <c r="D735" s="6">
        <v>2022</v>
      </c>
      <c r="E735" s="6">
        <v>2024</v>
      </c>
      <c r="F735" s="8">
        <v>23446</v>
      </c>
    </row>
    <row r="736" spans="1:6" x14ac:dyDescent="0.4">
      <c r="A736" s="6">
        <f t="shared" si="23"/>
        <v>735</v>
      </c>
      <c r="B736" s="6" t="str">
        <f t="shared" si="22"/>
        <v>Policy735</v>
      </c>
      <c r="C736" s="7" t="s">
        <v>11</v>
      </c>
      <c r="D736" s="6">
        <v>2025</v>
      </c>
      <c r="E736" s="6">
        <v>2026</v>
      </c>
      <c r="F736" s="8">
        <v>48412</v>
      </c>
    </row>
    <row r="737" spans="1:6" x14ac:dyDescent="0.4">
      <c r="A737" s="6">
        <f t="shared" si="23"/>
        <v>736</v>
      </c>
      <c r="B737" s="6" t="str">
        <f t="shared" si="22"/>
        <v>Policy736</v>
      </c>
      <c r="C737" s="7" t="s">
        <v>12</v>
      </c>
      <c r="D737" s="6">
        <v>2021</v>
      </c>
      <c r="E737" s="6">
        <v>2024</v>
      </c>
      <c r="F737" s="8">
        <v>547522</v>
      </c>
    </row>
    <row r="738" spans="1:6" x14ac:dyDescent="0.4">
      <c r="A738" s="6">
        <f t="shared" si="23"/>
        <v>737</v>
      </c>
      <c r="B738" s="6" t="str">
        <f t="shared" si="22"/>
        <v>Policy737</v>
      </c>
      <c r="C738" s="7" t="s">
        <v>11</v>
      </c>
      <c r="D738" s="6">
        <v>2025</v>
      </c>
      <c r="E738" s="6">
        <v>2026</v>
      </c>
      <c r="F738" s="8">
        <v>37064</v>
      </c>
    </row>
    <row r="739" spans="1:6" x14ac:dyDescent="0.4">
      <c r="A739" s="6">
        <f t="shared" si="23"/>
        <v>738</v>
      </c>
      <c r="B739" s="6" t="str">
        <f t="shared" si="22"/>
        <v>Policy738</v>
      </c>
      <c r="C739" s="7" t="s">
        <v>12</v>
      </c>
      <c r="D739" s="6">
        <v>2025</v>
      </c>
      <c r="E739" s="6">
        <v>2026</v>
      </c>
      <c r="F739" s="8">
        <v>2796752</v>
      </c>
    </row>
    <row r="740" spans="1:6" x14ac:dyDescent="0.4">
      <c r="A740" s="6">
        <f t="shared" si="23"/>
        <v>739</v>
      </c>
      <c r="B740" s="6" t="str">
        <f t="shared" si="22"/>
        <v>Policy739</v>
      </c>
      <c r="C740" s="7" t="s">
        <v>11</v>
      </c>
      <c r="D740" s="6">
        <v>2025</v>
      </c>
      <c r="E740" s="6">
        <v>2026</v>
      </c>
      <c r="F740" s="8">
        <v>24835</v>
      </c>
    </row>
    <row r="741" spans="1:6" x14ac:dyDescent="0.4">
      <c r="A741" s="6">
        <f t="shared" si="23"/>
        <v>740</v>
      </c>
      <c r="B741" s="6" t="str">
        <f t="shared" si="22"/>
        <v>Policy740</v>
      </c>
      <c r="C741" s="7" t="s">
        <v>12</v>
      </c>
      <c r="D741" s="6">
        <v>2024</v>
      </c>
      <c r="E741" s="6">
        <v>2026</v>
      </c>
      <c r="F741" s="8">
        <v>2746273</v>
      </c>
    </row>
    <row r="742" spans="1:6" x14ac:dyDescent="0.4">
      <c r="A742" s="6">
        <f t="shared" si="23"/>
        <v>741</v>
      </c>
      <c r="B742" s="6" t="str">
        <f t="shared" si="22"/>
        <v>Policy741</v>
      </c>
      <c r="C742" s="7" t="s">
        <v>11</v>
      </c>
      <c r="D742" s="6">
        <v>2024</v>
      </c>
      <c r="E742" s="6">
        <v>2026</v>
      </c>
      <c r="F742" s="8">
        <v>48939</v>
      </c>
    </row>
    <row r="743" spans="1:6" x14ac:dyDescent="0.4">
      <c r="A743" s="6">
        <f t="shared" si="23"/>
        <v>742</v>
      </c>
      <c r="B743" s="6" t="str">
        <f t="shared" si="22"/>
        <v>Policy742</v>
      </c>
      <c r="C743" s="7" t="s">
        <v>11</v>
      </c>
      <c r="D743" s="6">
        <v>2023</v>
      </c>
      <c r="E743" s="6">
        <v>2025</v>
      </c>
      <c r="F743" s="8">
        <v>798</v>
      </c>
    </row>
    <row r="744" spans="1:6" x14ac:dyDescent="0.4">
      <c r="A744" s="6">
        <f t="shared" si="23"/>
        <v>743</v>
      </c>
      <c r="B744" s="6" t="str">
        <f t="shared" si="22"/>
        <v>Policy743</v>
      </c>
      <c r="C744" s="7" t="s">
        <v>12</v>
      </c>
      <c r="D744" s="6">
        <v>2024</v>
      </c>
      <c r="E744" s="6">
        <v>2026</v>
      </c>
      <c r="F744" s="8">
        <v>2378361</v>
      </c>
    </row>
    <row r="745" spans="1:6" x14ac:dyDescent="0.4">
      <c r="A745" s="6">
        <f t="shared" si="23"/>
        <v>744</v>
      </c>
      <c r="B745" s="6" t="str">
        <f t="shared" si="22"/>
        <v>Policy744</v>
      </c>
      <c r="C745" s="7" t="s">
        <v>11</v>
      </c>
      <c r="D745" s="6">
        <v>2024</v>
      </c>
      <c r="E745" s="6">
        <v>2025</v>
      </c>
      <c r="F745" s="8">
        <v>24720</v>
      </c>
    </row>
    <row r="746" spans="1:6" x14ac:dyDescent="0.4">
      <c r="A746" s="6">
        <f t="shared" si="23"/>
        <v>745</v>
      </c>
      <c r="B746" s="6" t="str">
        <f t="shared" si="22"/>
        <v>Policy745</v>
      </c>
      <c r="C746" s="7" t="s">
        <v>11</v>
      </c>
      <c r="D746" s="6">
        <v>2021</v>
      </c>
      <c r="E746" s="6">
        <v>2025</v>
      </c>
      <c r="F746" s="8">
        <v>32736</v>
      </c>
    </row>
    <row r="747" spans="1:6" x14ac:dyDescent="0.4">
      <c r="A747" s="6">
        <f t="shared" si="23"/>
        <v>746</v>
      </c>
      <c r="B747" s="6" t="str">
        <f t="shared" si="22"/>
        <v>Policy746</v>
      </c>
      <c r="C747" s="7" t="s">
        <v>12</v>
      </c>
      <c r="D747" s="6">
        <v>2025</v>
      </c>
      <c r="E747" s="6">
        <v>2026</v>
      </c>
      <c r="F747" s="8">
        <v>4105556</v>
      </c>
    </row>
    <row r="748" spans="1:6" x14ac:dyDescent="0.4">
      <c r="A748" s="6">
        <f t="shared" si="23"/>
        <v>747</v>
      </c>
      <c r="B748" s="6" t="str">
        <f t="shared" si="22"/>
        <v>Policy747</v>
      </c>
      <c r="C748" s="7" t="s">
        <v>12</v>
      </c>
      <c r="D748" s="6">
        <v>2022</v>
      </c>
      <c r="E748" s="6">
        <v>2025</v>
      </c>
      <c r="F748" s="8">
        <v>278627</v>
      </c>
    </row>
    <row r="749" spans="1:6" x14ac:dyDescent="0.4">
      <c r="A749" s="6">
        <f t="shared" si="23"/>
        <v>748</v>
      </c>
      <c r="B749" s="6" t="str">
        <f t="shared" si="22"/>
        <v>Policy748</v>
      </c>
      <c r="C749" s="7" t="s">
        <v>12</v>
      </c>
      <c r="D749" s="6">
        <v>2023</v>
      </c>
      <c r="E749" s="6">
        <v>2026</v>
      </c>
      <c r="F749" s="8">
        <v>921664</v>
      </c>
    </row>
    <row r="750" spans="1:6" x14ac:dyDescent="0.4">
      <c r="A750" s="6">
        <f t="shared" si="23"/>
        <v>749</v>
      </c>
      <c r="B750" s="6" t="str">
        <f t="shared" si="22"/>
        <v>Policy749</v>
      </c>
      <c r="C750" s="7" t="s">
        <v>12</v>
      </c>
      <c r="D750" s="6">
        <v>2023</v>
      </c>
      <c r="E750" s="6">
        <v>2025</v>
      </c>
      <c r="F750" s="8">
        <v>256039</v>
      </c>
    </row>
    <row r="751" spans="1:6" x14ac:dyDescent="0.4">
      <c r="A751" s="6">
        <f t="shared" si="23"/>
        <v>750</v>
      </c>
      <c r="B751" s="6" t="str">
        <f t="shared" si="22"/>
        <v>Policy750</v>
      </c>
      <c r="C751" s="7" t="s">
        <v>11</v>
      </c>
      <c r="D751" s="6">
        <v>2022</v>
      </c>
      <c r="E751" s="6">
        <v>2026</v>
      </c>
      <c r="F751" s="8">
        <v>31341</v>
      </c>
    </row>
    <row r="752" spans="1:6" x14ac:dyDescent="0.4">
      <c r="A752" s="6">
        <f t="shared" si="23"/>
        <v>751</v>
      </c>
      <c r="B752" s="6" t="str">
        <f t="shared" si="22"/>
        <v>Policy751</v>
      </c>
      <c r="C752" s="7" t="s">
        <v>11</v>
      </c>
      <c r="D752" s="6">
        <v>2023</v>
      </c>
      <c r="E752" s="6">
        <v>2024</v>
      </c>
      <c r="F752" s="8">
        <v>49045</v>
      </c>
    </row>
    <row r="753" spans="1:6" x14ac:dyDescent="0.4">
      <c r="A753" s="6">
        <f t="shared" si="23"/>
        <v>752</v>
      </c>
      <c r="B753" s="6" t="str">
        <f t="shared" si="22"/>
        <v>Policy752</v>
      </c>
      <c r="C753" s="7" t="s">
        <v>11</v>
      </c>
      <c r="D753" s="6">
        <v>2025</v>
      </c>
      <c r="E753" s="6">
        <v>2026</v>
      </c>
      <c r="F753" s="8">
        <v>49706</v>
      </c>
    </row>
    <row r="754" spans="1:6" x14ac:dyDescent="0.4">
      <c r="A754" s="6">
        <f t="shared" si="23"/>
        <v>753</v>
      </c>
      <c r="B754" s="6" t="str">
        <f t="shared" si="22"/>
        <v>Policy753</v>
      </c>
      <c r="C754" s="7" t="s">
        <v>12</v>
      </c>
      <c r="D754" s="6">
        <v>2023</v>
      </c>
      <c r="E754" s="6">
        <v>2025</v>
      </c>
      <c r="F754" s="8">
        <v>2606303</v>
      </c>
    </row>
    <row r="755" spans="1:6" x14ac:dyDescent="0.4">
      <c r="A755" s="6">
        <f t="shared" si="23"/>
        <v>754</v>
      </c>
      <c r="B755" s="6" t="str">
        <f t="shared" si="22"/>
        <v>Policy754</v>
      </c>
      <c r="C755" s="7" t="s">
        <v>11</v>
      </c>
      <c r="D755" s="6">
        <v>2024</v>
      </c>
      <c r="E755" s="6">
        <v>2025</v>
      </c>
      <c r="F755" s="8">
        <v>47829</v>
      </c>
    </row>
    <row r="756" spans="1:6" x14ac:dyDescent="0.4">
      <c r="A756" s="6">
        <f t="shared" si="23"/>
        <v>755</v>
      </c>
      <c r="B756" s="6" t="str">
        <f t="shared" si="22"/>
        <v>Policy755</v>
      </c>
      <c r="C756" s="7" t="s">
        <v>12</v>
      </c>
      <c r="D756" s="6">
        <v>2021</v>
      </c>
      <c r="E756" s="6">
        <v>2023</v>
      </c>
      <c r="F756" s="8">
        <v>2311377</v>
      </c>
    </row>
    <row r="757" spans="1:6" x14ac:dyDescent="0.4">
      <c r="A757" s="6">
        <f t="shared" si="23"/>
        <v>756</v>
      </c>
      <c r="B757" s="6" t="str">
        <f t="shared" si="22"/>
        <v>Policy756</v>
      </c>
      <c r="C757" s="7" t="s">
        <v>11</v>
      </c>
      <c r="D757" s="6">
        <v>2022</v>
      </c>
      <c r="E757" s="6">
        <v>2025</v>
      </c>
      <c r="F757" s="8">
        <v>5719</v>
      </c>
    </row>
    <row r="758" spans="1:6" x14ac:dyDescent="0.4">
      <c r="A758" s="6">
        <f t="shared" si="23"/>
        <v>757</v>
      </c>
      <c r="B758" s="6" t="str">
        <f t="shared" si="22"/>
        <v>Policy757</v>
      </c>
      <c r="C758" s="7" t="s">
        <v>12</v>
      </c>
      <c r="D758" s="6">
        <v>2023</v>
      </c>
      <c r="E758" s="6">
        <v>2024</v>
      </c>
      <c r="F758" s="8">
        <v>204053</v>
      </c>
    </row>
    <row r="759" spans="1:6" x14ac:dyDescent="0.4">
      <c r="A759" s="6">
        <f t="shared" si="23"/>
        <v>758</v>
      </c>
      <c r="B759" s="6" t="str">
        <f t="shared" si="22"/>
        <v>Policy758</v>
      </c>
      <c r="C759" s="7" t="s">
        <v>11</v>
      </c>
      <c r="D759" s="6">
        <v>2024</v>
      </c>
      <c r="E759" s="6">
        <v>2025</v>
      </c>
      <c r="F759" s="8">
        <v>21297</v>
      </c>
    </row>
    <row r="760" spans="1:6" x14ac:dyDescent="0.4">
      <c r="A760" s="6">
        <f t="shared" si="23"/>
        <v>759</v>
      </c>
      <c r="B760" s="6" t="str">
        <f t="shared" si="22"/>
        <v>Policy759</v>
      </c>
      <c r="C760" s="7" t="s">
        <v>11</v>
      </c>
      <c r="D760" s="6">
        <v>2024</v>
      </c>
      <c r="E760" s="6">
        <v>2026</v>
      </c>
      <c r="F760" s="8">
        <v>12701</v>
      </c>
    </row>
    <row r="761" spans="1:6" x14ac:dyDescent="0.4">
      <c r="A761" s="6">
        <f t="shared" si="23"/>
        <v>760</v>
      </c>
      <c r="B761" s="6" t="str">
        <f t="shared" si="22"/>
        <v>Policy760</v>
      </c>
      <c r="C761" s="7" t="s">
        <v>11</v>
      </c>
      <c r="D761" s="6">
        <v>2021</v>
      </c>
      <c r="E761" s="6">
        <v>2022</v>
      </c>
      <c r="F761" s="8">
        <v>3258</v>
      </c>
    </row>
    <row r="762" spans="1:6" x14ac:dyDescent="0.4">
      <c r="A762" s="6">
        <f t="shared" si="23"/>
        <v>761</v>
      </c>
      <c r="B762" s="6" t="str">
        <f t="shared" si="22"/>
        <v>Policy761</v>
      </c>
      <c r="C762" s="7" t="s">
        <v>12</v>
      </c>
      <c r="D762" s="6">
        <v>2022</v>
      </c>
      <c r="E762" s="6">
        <v>2024</v>
      </c>
      <c r="F762" s="8">
        <v>823494</v>
      </c>
    </row>
    <row r="763" spans="1:6" x14ac:dyDescent="0.4">
      <c r="A763" s="6">
        <f t="shared" si="23"/>
        <v>762</v>
      </c>
      <c r="B763" s="6" t="str">
        <f t="shared" si="22"/>
        <v>Policy762</v>
      </c>
      <c r="C763" s="7" t="s">
        <v>12</v>
      </c>
      <c r="D763" s="6">
        <v>2023</v>
      </c>
      <c r="E763" s="6">
        <v>2024</v>
      </c>
      <c r="F763" s="8">
        <v>3279289</v>
      </c>
    </row>
    <row r="764" spans="1:6" x14ac:dyDescent="0.4">
      <c r="A764" s="6">
        <f t="shared" si="23"/>
        <v>763</v>
      </c>
      <c r="B764" s="6" t="str">
        <f t="shared" si="22"/>
        <v>Policy763</v>
      </c>
      <c r="C764" s="7" t="s">
        <v>11</v>
      </c>
      <c r="D764" s="6">
        <v>2025</v>
      </c>
      <c r="E764" s="6">
        <v>2026</v>
      </c>
      <c r="F764" s="8">
        <v>35407</v>
      </c>
    </row>
    <row r="765" spans="1:6" x14ac:dyDescent="0.4">
      <c r="A765" s="6">
        <f t="shared" si="23"/>
        <v>764</v>
      </c>
      <c r="B765" s="6" t="str">
        <f t="shared" si="22"/>
        <v>Policy764</v>
      </c>
      <c r="C765" s="7" t="s">
        <v>12</v>
      </c>
      <c r="D765" s="6">
        <v>2024</v>
      </c>
      <c r="E765" s="6">
        <v>2026</v>
      </c>
      <c r="F765" s="8">
        <v>469853</v>
      </c>
    </row>
    <row r="766" spans="1:6" x14ac:dyDescent="0.4">
      <c r="A766" s="6">
        <f t="shared" si="23"/>
        <v>765</v>
      </c>
      <c r="B766" s="6" t="str">
        <f t="shared" si="22"/>
        <v>Policy765</v>
      </c>
      <c r="C766" s="7" t="s">
        <v>12</v>
      </c>
      <c r="D766" s="6">
        <v>2021</v>
      </c>
      <c r="E766" s="6">
        <v>2023</v>
      </c>
      <c r="F766" s="8">
        <v>443220</v>
      </c>
    </row>
    <row r="767" spans="1:6" x14ac:dyDescent="0.4">
      <c r="A767" s="6">
        <f t="shared" si="23"/>
        <v>766</v>
      </c>
      <c r="B767" s="6" t="str">
        <f t="shared" si="22"/>
        <v>Policy766</v>
      </c>
      <c r="C767" s="7" t="s">
        <v>11</v>
      </c>
      <c r="D767" s="6">
        <v>2023</v>
      </c>
      <c r="E767" s="6">
        <v>2025</v>
      </c>
      <c r="F767" s="8">
        <v>32404</v>
      </c>
    </row>
    <row r="768" spans="1:6" x14ac:dyDescent="0.4">
      <c r="A768" s="6">
        <f t="shared" si="23"/>
        <v>767</v>
      </c>
      <c r="B768" s="6" t="str">
        <f t="shared" si="22"/>
        <v>Policy767</v>
      </c>
      <c r="C768" s="7" t="s">
        <v>11</v>
      </c>
      <c r="D768" s="6">
        <v>2021</v>
      </c>
      <c r="E768" s="6">
        <v>2022</v>
      </c>
      <c r="F768" s="8">
        <v>13562</v>
      </c>
    </row>
    <row r="769" spans="1:6" x14ac:dyDescent="0.4">
      <c r="A769" s="6">
        <f t="shared" si="23"/>
        <v>768</v>
      </c>
      <c r="B769" s="6" t="str">
        <f t="shared" si="22"/>
        <v>Policy768</v>
      </c>
      <c r="C769" s="7" t="s">
        <v>12</v>
      </c>
      <c r="D769" s="6">
        <v>2023</v>
      </c>
      <c r="E769" s="6">
        <v>2026</v>
      </c>
      <c r="F769" s="8">
        <v>1846111</v>
      </c>
    </row>
    <row r="770" spans="1:6" x14ac:dyDescent="0.4">
      <c r="A770" s="6">
        <f t="shared" si="23"/>
        <v>769</v>
      </c>
      <c r="B770" s="6" t="str">
        <f t="shared" si="22"/>
        <v>Policy769</v>
      </c>
      <c r="C770" s="7" t="s">
        <v>11</v>
      </c>
      <c r="D770" s="6">
        <v>2021</v>
      </c>
      <c r="E770" s="6">
        <v>2024</v>
      </c>
      <c r="F770" s="8">
        <v>5945</v>
      </c>
    </row>
    <row r="771" spans="1:6" x14ac:dyDescent="0.4">
      <c r="A771" s="6">
        <f t="shared" si="23"/>
        <v>770</v>
      </c>
      <c r="B771" s="6" t="str">
        <f t="shared" ref="B771:B834" si="24">"Policy"&amp;A771</f>
        <v>Policy770</v>
      </c>
      <c r="C771" s="7" t="s">
        <v>11</v>
      </c>
      <c r="D771" s="6">
        <v>2022</v>
      </c>
      <c r="E771" s="6">
        <v>2026</v>
      </c>
      <c r="F771" s="8">
        <v>29640</v>
      </c>
    </row>
    <row r="772" spans="1:6" x14ac:dyDescent="0.4">
      <c r="A772" s="6">
        <f t="shared" ref="A772:A835" si="25">A771+1</f>
        <v>771</v>
      </c>
      <c r="B772" s="6" t="str">
        <f t="shared" si="24"/>
        <v>Policy771</v>
      </c>
      <c r="C772" s="7" t="s">
        <v>12</v>
      </c>
      <c r="D772" s="6">
        <v>2021</v>
      </c>
      <c r="E772" s="6">
        <v>2022</v>
      </c>
      <c r="F772" s="8">
        <v>1460962</v>
      </c>
    </row>
    <row r="773" spans="1:6" x14ac:dyDescent="0.4">
      <c r="A773" s="6">
        <f t="shared" si="25"/>
        <v>772</v>
      </c>
      <c r="B773" s="6" t="str">
        <f t="shared" si="24"/>
        <v>Policy772</v>
      </c>
      <c r="C773" s="7" t="s">
        <v>11</v>
      </c>
      <c r="D773" s="6">
        <v>2022</v>
      </c>
      <c r="E773" s="6">
        <v>2023</v>
      </c>
      <c r="F773" s="8">
        <v>12187</v>
      </c>
    </row>
    <row r="774" spans="1:6" x14ac:dyDescent="0.4">
      <c r="A774" s="6">
        <f t="shared" si="25"/>
        <v>773</v>
      </c>
      <c r="B774" s="6" t="str">
        <f t="shared" si="24"/>
        <v>Policy773</v>
      </c>
      <c r="C774" s="7" t="s">
        <v>12</v>
      </c>
      <c r="D774" s="6">
        <v>2025</v>
      </c>
      <c r="E774" s="6">
        <v>2026</v>
      </c>
      <c r="F774" s="8">
        <v>4323339</v>
      </c>
    </row>
    <row r="775" spans="1:6" x14ac:dyDescent="0.4">
      <c r="A775" s="6">
        <f t="shared" si="25"/>
        <v>774</v>
      </c>
      <c r="B775" s="6" t="str">
        <f t="shared" si="24"/>
        <v>Policy774</v>
      </c>
      <c r="C775" s="7" t="s">
        <v>11</v>
      </c>
      <c r="D775" s="6">
        <v>2021</v>
      </c>
      <c r="E775" s="6">
        <v>2022</v>
      </c>
      <c r="F775" s="8">
        <v>969</v>
      </c>
    </row>
    <row r="776" spans="1:6" x14ac:dyDescent="0.4">
      <c r="A776" s="6">
        <f t="shared" si="25"/>
        <v>775</v>
      </c>
      <c r="B776" s="6" t="str">
        <f t="shared" si="24"/>
        <v>Policy775</v>
      </c>
      <c r="C776" s="7" t="s">
        <v>12</v>
      </c>
      <c r="D776" s="6">
        <v>2023</v>
      </c>
      <c r="E776" s="6">
        <v>2024</v>
      </c>
      <c r="F776" s="8">
        <v>4855636</v>
      </c>
    </row>
    <row r="777" spans="1:6" x14ac:dyDescent="0.4">
      <c r="A777" s="6">
        <f t="shared" si="25"/>
        <v>776</v>
      </c>
      <c r="B777" s="6" t="str">
        <f t="shared" si="24"/>
        <v>Policy776</v>
      </c>
      <c r="C777" s="7" t="s">
        <v>11</v>
      </c>
      <c r="D777" s="6">
        <v>2022</v>
      </c>
      <c r="E777" s="6">
        <v>2026</v>
      </c>
      <c r="F777" s="8">
        <v>11795</v>
      </c>
    </row>
    <row r="778" spans="1:6" x14ac:dyDescent="0.4">
      <c r="A778" s="6">
        <f t="shared" si="25"/>
        <v>777</v>
      </c>
      <c r="B778" s="6" t="str">
        <f t="shared" si="24"/>
        <v>Policy777</v>
      </c>
      <c r="C778" s="7" t="s">
        <v>11</v>
      </c>
      <c r="D778" s="6">
        <v>2024</v>
      </c>
      <c r="E778" s="6">
        <v>2026</v>
      </c>
      <c r="F778" s="8">
        <v>36084</v>
      </c>
    </row>
    <row r="779" spans="1:6" x14ac:dyDescent="0.4">
      <c r="A779" s="6">
        <f t="shared" si="25"/>
        <v>778</v>
      </c>
      <c r="B779" s="6" t="str">
        <f t="shared" si="24"/>
        <v>Policy778</v>
      </c>
      <c r="C779" s="7" t="s">
        <v>11</v>
      </c>
      <c r="D779" s="6">
        <v>2023</v>
      </c>
      <c r="E779" s="6">
        <v>2026</v>
      </c>
      <c r="F779" s="8">
        <v>37541</v>
      </c>
    </row>
    <row r="780" spans="1:6" x14ac:dyDescent="0.4">
      <c r="A780" s="6">
        <f t="shared" si="25"/>
        <v>779</v>
      </c>
      <c r="B780" s="6" t="str">
        <f t="shared" si="24"/>
        <v>Policy779</v>
      </c>
      <c r="C780" s="7" t="s">
        <v>11</v>
      </c>
      <c r="D780" s="6">
        <v>2024</v>
      </c>
      <c r="E780" s="6">
        <v>2026</v>
      </c>
      <c r="F780" s="8">
        <v>12076</v>
      </c>
    </row>
    <row r="781" spans="1:6" x14ac:dyDescent="0.4">
      <c r="A781" s="6">
        <f t="shared" si="25"/>
        <v>780</v>
      </c>
      <c r="B781" s="6" t="str">
        <f t="shared" si="24"/>
        <v>Policy780</v>
      </c>
      <c r="C781" s="7" t="s">
        <v>11</v>
      </c>
      <c r="D781" s="6">
        <v>2023</v>
      </c>
      <c r="E781" s="6">
        <v>2025</v>
      </c>
      <c r="F781" s="8">
        <v>29984</v>
      </c>
    </row>
    <row r="782" spans="1:6" x14ac:dyDescent="0.4">
      <c r="A782" s="6">
        <f t="shared" si="25"/>
        <v>781</v>
      </c>
      <c r="B782" s="6" t="str">
        <f t="shared" si="24"/>
        <v>Policy781</v>
      </c>
      <c r="C782" s="7" t="s">
        <v>12</v>
      </c>
      <c r="D782" s="6">
        <v>2023</v>
      </c>
      <c r="E782" s="6">
        <v>2025</v>
      </c>
      <c r="F782" s="8">
        <v>1081529</v>
      </c>
    </row>
    <row r="783" spans="1:6" x14ac:dyDescent="0.4">
      <c r="A783" s="6">
        <f t="shared" si="25"/>
        <v>782</v>
      </c>
      <c r="B783" s="6" t="str">
        <f t="shared" si="24"/>
        <v>Policy782</v>
      </c>
      <c r="C783" s="7" t="s">
        <v>12</v>
      </c>
      <c r="D783" s="6">
        <v>2025</v>
      </c>
      <c r="E783" s="6">
        <v>2026</v>
      </c>
      <c r="F783" s="8">
        <v>3365984</v>
      </c>
    </row>
    <row r="784" spans="1:6" x14ac:dyDescent="0.4">
      <c r="A784" s="6">
        <f t="shared" si="25"/>
        <v>783</v>
      </c>
      <c r="B784" s="6" t="str">
        <f t="shared" si="24"/>
        <v>Policy783</v>
      </c>
      <c r="C784" s="7" t="s">
        <v>11</v>
      </c>
      <c r="D784" s="6">
        <v>2024</v>
      </c>
      <c r="E784" s="6">
        <v>2026</v>
      </c>
      <c r="F784" s="8">
        <v>37567</v>
      </c>
    </row>
    <row r="785" spans="1:6" x14ac:dyDescent="0.4">
      <c r="A785" s="6">
        <f t="shared" si="25"/>
        <v>784</v>
      </c>
      <c r="B785" s="6" t="str">
        <f t="shared" si="24"/>
        <v>Policy784</v>
      </c>
      <c r="C785" s="7" t="s">
        <v>11</v>
      </c>
      <c r="D785" s="6">
        <v>2022</v>
      </c>
      <c r="E785" s="6">
        <v>2025</v>
      </c>
      <c r="F785" s="8">
        <v>17843</v>
      </c>
    </row>
    <row r="786" spans="1:6" x14ac:dyDescent="0.4">
      <c r="A786" s="6">
        <f t="shared" si="25"/>
        <v>785</v>
      </c>
      <c r="B786" s="6" t="str">
        <f t="shared" si="24"/>
        <v>Policy785</v>
      </c>
      <c r="C786" s="7" t="s">
        <v>12</v>
      </c>
      <c r="D786" s="6">
        <v>2023</v>
      </c>
      <c r="E786" s="6">
        <v>2026</v>
      </c>
      <c r="F786" s="8">
        <v>1278762</v>
      </c>
    </row>
    <row r="787" spans="1:6" x14ac:dyDescent="0.4">
      <c r="A787" s="6">
        <f t="shared" si="25"/>
        <v>786</v>
      </c>
      <c r="B787" s="6" t="str">
        <f t="shared" si="24"/>
        <v>Policy786</v>
      </c>
      <c r="C787" s="7" t="s">
        <v>11</v>
      </c>
      <c r="D787" s="6">
        <v>2021</v>
      </c>
      <c r="E787" s="6">
        <v>2024</v>
      </c>
      <c r="F787" s="8">
        <v>1431</v>
      </c>
    </row>
    <row r="788" spans="1:6" x14ac:dyDescent="0.4">
      <c r="A788" s="6">
        <f t="shared" si="25"/>
        <v>787</v>
      </c>
      <c r="B788" s="6" t="str">
        <f t="shared" si="24"/>
        <v>Policy787</v>
      </c>
      <c r="C788" s="7" t="s">
        <v>12</v>
      </c>
      <c r="D788" s="6">
        <v>2021</v>
      </c>
      <c r="E788" s="6">
        <v>2023</v>
      </c>
      <c r="F788" s="8">
        <v>686121</v>
      </c>
    </row>
    <row r="789" spans="1:6" x14ac:dyDescent="0.4">
      <c r="A789" s="6">
        <f t="shared" si="25"/>
        <v>788</v>
      </c>
      <c r="B789" s="6" t="str">
        <f t="shared" si="24"/>
        <v>Policy788</v>
      </c>
      <c r="C789" s="7" t="s">
        <v>11</v>
      </c>
      <c r="D789" s="6">
        <v>2024</v>
      </c>
      <c r="E789" s="6">
        <v>2025</v>
      </c>
      <c r="F789" s="8">
        <v>14137</v>
      </c>
    </row>
    <row r="790" spans="1:6" x14ac:dyDescent="0.4">
      <c r="A790" s="6">
        <f t="shared" si="25"/>
        <v>789</v>
      </c>
      <c r="B790" s="6" t="str">
        <f t="shared" si="24"/>
        <v>Policy789</v>
      </c>
      <c r="C790" s="7" t="s">
        <v>12</v>
      </c>
      <c r="D790" s="6">
        <v>2025</v>
      </c>
      <c r="E790" s="6">
        <v>2026</v>
      </c>
      <c r="F790" s="8">
        <v>561060</v>
      </c>
    </row>
    <row r="791" spans="1:6" x14ac:dyDescent="0.4">
      <c r="A791" s="6">
        <f t="shared" si="25"/>
        <v>790</v>
      </c>
      <c r="B791" s="6" t="str">
        <f t="shared" si="24"/>
        <v>Policy790</v>
      </c>
      <c r="C791" s="7" t="s">
        <v>11</v>
      </c>
      <c r="D791" s="6">
        <v>2023</v>
      </c>
      <c r="E791" s="6">
        <v>2024</v>
      </c>
      <c r="F791" s="8">
        <v>5751</v>
      </c>
    </row>
    <row r="792" spans="1:6" x14ac:dyDescent="0.4">
      <c r="A792" s="6">
        <f t="shared" si="25"/>
        <v>791</v>
      </c>
      <c r="B792" s="6" t="str">
        <f t="shared" si="24"/>
        <v>Policy791</v>
      </c>
      <c r="C792" s="7" t="s">
        <v>12</v>
      </c>
      <c r="D792" s="6">
        <v>2023</v>
      </c>
      <c r="E792" s="6">
        <v>2024</v>
      </c>
      <c r="F792" s="8">
        <v>847401</v>
      </c>
    </row>
    <row r="793" spans="1:6" x14ac:dyDescent="0.4">
      <c r="A793" s="6">
        <f t="shared" si="25"/>
        <v>792</v>
      </c>
      <c r="B793" s="6" t="str">
        <f t="shared" si="24"/>
        <v>Policy792</v>
      </c>
      <c r="C793" s="7" t="s">
        <v>12</v>
      </c>
      <c r="D793" s="6">
        <v>2023</v>
      </c>
      <c r="E793" s="6">
        <v>2025</v>
      </c>
      <c r="F793" s="8">
        <v>1005409</v>
      </c>
    </row>
    <row r="794" spans="1:6" x14ac:dyDescent="0.4">
      <c r="A794" s="6">
        <f t="shared" si="25"/>
        <v>793</v>
      </c>
      <c r="B794" s="6" t="str">
        <f t="shared" si="24"/>
        <v>Policy793</v>
      </c>
      <c r="C794" s="7" t="s">
        <v>11</v>
      </c>
      <c r="D794" s="6">
        <v>2025</v>
      </c>
      <c r="E794" s="6">
        <v>2026</v>
      </c>
      <c r="F794" s="8">
        <v>46445</v>
      </c>
    </row>
    <row r="795" spans="1:6" x14ac:dyDescent="0.4">
      <c r="A795" s="6">
        <f t="shared" si="25"/>
        <v>794</v>
      </c>
      <c r="B795" s="6" t="str">
        <f t="shared" si="24"/>
        <v>Policy794</v>
      </c>
      <c r="C795" s="7" t="s">
        <v>11</v>
      </c>
      <c r="D795" s="6">
        <v>2024</v>
      </c>
      <c r="E795" s="6">
        <v>2026</v>
      </c>
      <c r="F795" s="8">
        <v>34409</v>
      </c>
    </row>
    <row r="796" spans="1:6" x14ac:dyDescent="0.4">
      <c r="A796" s="6">
        <f t="shared" si="25"/>
        <v>795</v>
      </c>
      <c r="B796" s="6" t="str">
        <f t="shared" si="24"/>
        <v>Policy795</v>
      </c>
      <c r="C796" s="7" t="s">
        <v>12</v>
      </c>
      <c r="D796" s="6">
        <v>2021</v>
      </c>
      <c r="E796" s="6">
        <v>2025</v>
      </c>
      <c r="F796" s="8">
        <v>3746127</v>
      </c>
    </row>
    <row r="797" spans="1:6" x14ac:dyDescent="0.4">
      <c r="A797" s="6">
        <f t="shared" si="25"/>
        <v>796</v>
      </c>
      <c r="B797" s="6" t="str">
        <f t="shared" si="24"/>
        <v>Policy796</v>
      </c>
      <c r="C797" s="7" t="s">
        <v>11</v>
      </c>
      <c r="D797" s="6">
        <v>2021</v>
      </c>
      <c r="E797" s="6">
        <v>2026</v>
      </c>
      <c r="F797" s="8">
        <v>43502</v>
      </c>
    </row>
    <row r="798" spans="1:6" x14ac:dyDescent="0.4">
      <c r="A798" s="6">
        <f t="shared" si="25"/>
        <v>797</v>
      </c>
      <c r="B798" s="6" t="str">
        <f t="shared" si="24"/>
        <v>Policy797</v>
      </c>
      <c r="C798" s="7" t="s">
        <v>12</v>
      </c>
      <c r="D798" s="6">
        <v>2024</v>
      </c>
      <c r="E798" s="6">
        <v>2026</v>
      </c>
      <c r="F798" s="8">
        <v>2726075</v>
      </c>
    </row>
    <row r="799" spans="1:6" x14ac:dyDescent="0.4">
      <c r="A799" s="6">
        <f t="shared" si="25"/>
        <v>798</v>
      </c>
      <c r="B799" s="6" t="str">
        <f t="shared" si="24"/>
        <v>Policy798</v>
      </c>
      <c r="C799" s="7" t="s">
        <v>12</v>
      </c>
      <c r="D799" s="6">
        <v>2022</v>
      </c>
      <c r="E799" s="6">
        <v>2024</v>
      </c>
      <c r="F799" s="8">
        <v>4450409</v>
      </c>
    </row>
    <row r="800" spans="1:6" x14ac:dyDescent="0.4">
      <c r="A800" s="6">
        <f t="shared" si="25"/>
        <v>799</v>
      </c>
      <c r="B800" s="6" t="str">
        <f t="shared" si="24"/>
        <v>Policy799</v>
      </c>
      <c r="C800" s="7" t="s">
        <v>12</v>
      </c>
      <c r="D800" s="6">
        <v>2021</v>
      </c>
      <c r="E800" s="6">
        <v>2022</v>
      </c>
      <c r="F800" s="8">
        <v>1857023</v>
      </c>
    </row>
    <row r="801" spans="1:6" x14ac:dyDescent="0.4">
      <c r="A801" s="6">
        <f t="shared" si="25"/>
        <v>800</v>
      </c>
      <c r="B801" s="6" t="str">
        <f t="shared" si="24"/>
        <v>Policy800</v>
      </c>
      <c r="C801" s="7" t="s">
        <v>12</v>
      </c>
      <c r="D801" s="6">
        <v>2023</v>
      </c>
      <c r="E801" s="6">
        <v>2025</v>
      </c>
      <c r="F801" s="8">
        <v>2562557</v>
      </c>
    </row>
    <row r="802" spans="1:6" x14ac:dyDescent="0.4">
      <c r="A802" s="6">
        <f t="shared" si="25"/>
        <v>801</v>
      </c>
      <c r="B802" s="6" t="str">
        <f t="shared" si="24"/>
        <v>Policy801</v>
      </c>
      <c r="C802" s="7" t="s">
        <v>12</v>
      </c>
      <c r="D802" s="6">
        <v>2021</v>
      </c>
      <c r="E802" s="6">
        <v>2023</v>
      </c>
      <c r="F802" s="8">
        <v>4494305</v>
      </c>
    </row>
    <row r="803" spans="1:6" x14ac:dyDescent="0.4">
      <c r="A803" s="6">
        <f t="shared" si="25"/>
        <v>802</v>
      </c>
      <c r="B803" s="6" t="str">
        <f t="shared" si="24"/>
        <v>Policy802</v>
      </c>
      <c r="C803" s="7" t="s">
        <v>12</v>
      </c>
      <c r="D803" s="6">
        <v>2021</v>
      </c>
      <c r="E803" s="6">
        <v>2023</v>
      </c>
      <c r="F803" s="8">
        <v>4083353</v>
      </c>
    </row>
    <row r="804" spans="1:6" x14ac:dyDescent="0.4">
      <c r="A804" s="6">
        <f t="shared" si="25"/>
        <v>803</v>
      </c>
      <c r="B804" s="6" t="str">
        <f t="shared" si="24"/>
        <v>Policy803</v>
      </c>
      <c r="C804" s="7" t="s">
        <v>12</v>
      </c>
      <c r="D804" s="6">
        <v>2023</v>
      </c>
      <c r="E804" s="6">
        <v>2025</v>
      </c>
      <c r="F804" s="8">
        <v>3932779</v>
      </c>
    </row>
    <row r="805" spans="1:6" x14ac:dyDescent="0.4">
      <c r="A805" s="6">
        <f t="shared" si="25"/>
        <v>804</v>
      </c>
      <c r="B805" s="6" t="str">
        <f t="shared" si="24"/>
        <v>Policy804</v>
      </c>
      <c r="C805" s="7" t="s">
        <v>11</v>
      </c>
      <c r="D805" s="6">
        <v>2023</v>
      </c>
      <c r="E805" s="6">
        <v>2024</v>
      </c>
      <c r="F805" s="8">
        <v>18560</v>
      </c>
    </row>
    <row r="806" spans="1:6" x14ac:dyDescent="0.4">
      <c r="A806" s="6">
        <f t="shared" si="25"/>
        <v>805</v>
      </c>
      <c r="B806" s="6" t="str">
        <f t="shared" si="24"/>
        <v>Policy805</v>
      </c>
      <c r="C806" s="7" t="s">
        <v>12</v>
      </c>
      <c r="D806" s="6">
        <v>2022</v>
      </c>
      <c r="E806" s="6">
        <v>2024</v>
      </c>
      <c r="F806" s="8">
        <v>1411526</v>
      </c>
    </row>
    <row r="807" spans="1:6" x14ac:dyDescent="0.4">
      <c r="A807" s="6">
        <f t="shared" si="25"/>
        <v>806</v>
      </c>
      <c r="B807" s="6" t="str">
        <f t="shared" si="24"/>
        <v>Policy806</v>
      </c>
      <c r="C807" s="7" t="s">
        <v>11</v>
      </c>
      <c r="D807" s="6">
        <v>2024</v>
      </c>
      <c r="E807" s="6">
        <v>2026</v>
      </c>
      <c r="F807" s="8">
        <v>42289</v>
      </c>
    </row>
    <row r="808" spans="1:6" x14ac:dyDescent="0.4">
      <c r="A808" s="6">
        <f t="shared" si="25"/>
        <v>807</v>
      </c>
      <c r="B808" s="6" t="str">
        <f t="shared" si="24"/>
        <v>Policy807</v>
      </c>
      <c r="C808" s="7" t="s">
        <v>11</v>
      </c>
      <c r="D808" s="6">
        <v>2024</v>
      </c>
      <c r="E808" s="6">
        <v>2025</v>
      </c>
      <c r="F808" s="8">
        <v>29341</v>
      </c>
    </row>
    <row r="809" spans="1:6" x14ac:dyDescent="0.4">
      <c r="A809" s="6">
        <f t="shared" si="25"/>
        <v>808</v>
      </c>
      <c r="B809" s="6" t="str">
        <f t="shared" si="24"/>
        <v>Policy808</v>
      </c>
      <c r="C809" s="7" t="s">
        <v>12</v>
      </c>
      <c r="D809" s="6">
        <v>2025</v>
      </c>
      <c r="E809" s="6">
        <v>2026</v>
      </c>
      <c r="F809" s="8">
        <v>4026621</v>
      </c>
    </row>
    <row r="810" spans="1:6" x14ac:dyDescent="0.4">
      <c r="A810" s="6">
        <f t="shared" si="25"/>
        <v>809</v>
      </c>
      <c r="B810" s="6" t="str">
        <f t="shared" si="24"/>
        <v>Policy809</v>
      </c>
      <c r="C810" s="7" t="s">
        <v>12</v>
      </c>
      <c r="D810" s="6">
        <v>2024</v>
      </c>
      <c r="E810" s="6">
        <v>2026</v>
      </c>
      <c r="F810" s="8">
        <v>3627389</v>
      </c>
    </row>
    <row r="811" spans="1:6" x14ac:dyDescent="0.4">
      <c r="A811" s="6">
        <f t="shared" si="25"/>
        <v>810</v>
      </c>
      <c r="B811" s="6" t="str">
        <f t="shared" si="24"/>
        <v>Policy810</v>
      </c>
      <c r="C811" s="7" t="s">
        <v>12</v>
      </c>
      <c r="D811" s="6">
        <v>2021</v>
      </c>
      <c r="E811" s="6">
        <v>2023</v>
      </c>
      <c r="F811" s="8">
        <v>3100090</v>
      </c>
    </row>
    <row r="812" spans="1:6" x14ac:dyDescent="0.4">
      <c r="A812" s="6">
        <f t="shared" si="25"/>
        <v>811</v>
      </c>
      <c r="B812" s="6" t="str">
        <f t="shared" si="24"/>
        <v>Policy811</v>
      </c>
      <c r="C812" s="7" t="s">
        <v>12</v>
      </c>
      <c r="D812" s="6">
        <v>2022</v>
      </c>
      <c r="E812" s="6">
        <v>2025</v>
      </c>
      <c r="F812" s="8">
        <v>216207</v>
      </c>
    </row>
    <row r="813" spans="1:6" x14ac:dyDescent="0.4">
      <c r="A813" s="6">
        <f t="shared" si="25"/>
        <v>812</v>
      </c>
      <c r="B813" s="6" t="str">
        <f t="shared" si="24"/>
        <v>Policy812</v>
      </c>
      <c r="C813" s="7" t="s">
        <v>12</v>
      </c>
      <c r="D813" s="6">
        <v>2022</v>
      </c>
      <c r="E813" s="6">
        <v>2026</v>
      </c>
      <c r="F813" s="8">
        <v>2748094</v>
      </c>
    </row>
    <row r="814" spans="1:6" x14ac:dyDescent="0.4">
      <c r="A814" s="6">
        <f t="shared" si="25"/>
        <v>813</v>
      </c>
      <c r="B814" s="6" t="str">
        <f t="shared" si="24"/>
        <v>Policy813</v>
      </c>
      <c r="C814" s="7" t="s">
        <v>11</v>
      </c>
      <c r="D814" s="6">
        <v>2022</v>
      </c>
      <c r="E814" s="6">
        <v>2025</v>
      </c>
      <c r="F814" s="8">
        <v>40822</v>
      </c>
    </row>
    <row r="815" spans="1:6" x14ac:dyDescent="0.4">
      <c r="A815" s="6">
        <f t="shared" si="25"/>
        <v>814</v>
      </c>
      <c r="B815" s="6" t="str">
        <f t="shared" si="24"/>
        <v>Policy814</v>
      </c>
      <c r="C815" s="7" t="s">
        <v>12</v>
      </c>
      <c r="D815" s="6">
        <v>2023</v>
      </c>
      <c r="E815" s="6">
        <v>2024</v>
      </c>
      <c r="F815" s="8">
        <v>3788888</v>
      </c>
    </row>
    <row r="816" spans="1:6" x14ac:dyDescent="0.4">
      <c r="A816" s="6">
        <f t="shared" si="25"/>
        <v>815</v>
      </c>
      <c r="B816" s="6" t="str">
        <f t="shared" si="24"/>
        <v>Policy815</v>
      </c>
      <c r="C816" s="7" t="s">
        <v>12</v>
      </c>
      <c r="D816" s="6">
        <v>2021</v>
      </c>
      <c r="E816" s="6">
        <v>2022</v>
      </c>
      <c r="F816" s="8">
        <v>4635437</v>
      </c>
    </row>
    <row r="817" spans="1:6" x14ac:dyDescent="0.4">
      <c r="A817" s="6">
        <f t="shared" si="25"/>
        <v>816</v>
      </c>
      <c r="B817" s="6" t="str">
        <f t="shared" si="24"/>
        <v>Policy816</v>
      </c>
      <c r="C817" s="7" t="s">
        <v>11</v>
      </c>
      <c r="D817" s="6">
        <v>2023</v>
      </c>
      <c r="E817" s="6">
        <v>2025</v>
      </c>
      <c r="F817" s="8">
        <v>31467</v>
      </c>
    </row>
    <row r="818" spans="1:6" x14ac:dyDescent="0.4">
      <c r="A818" s="6">
        <f t="shared" si="25"/>
        <v>817</v>
      </c>
      <c r="B818" s="6" t="str">
        <f t="shared" si="24"/>
        <v>Policy817</v>
      </c>
      <c r="C818" s="7" t="s">
        <v>11</v>
      </c>
      <c r="D818" s="6">
        <v>2022</v>
      </c>
      <c r="E818" s="6">
        <v>2024</v>
      </c>
      <c r="F818" s="8">
        <v>12559</v>
      </c>
    </row>
    <row r="819" spans="1:6" x14ac:dyDescent="0.4">
      <c r="A819" s="6">
        <f t="shared" si="25"/>
        <v>818</v>
      </c>
      <c r="B819" s="6" t="str">
        <f t="shared" si="24"/>
        <v>Policy818</v>
      </c>
      <c r="C819" s="7" t="s">
        <v>11</v>
      </c>
      <c r="D819" s="6">
        <v>2023</v>
      </c>
      <c r="E819" s="6">
        <v>2024</v>
      </c>
      <c r="F819" s="8">
        <v>45580</v>
      </c>
    </row>
    <row r="820" spans="1:6" x14ac:dyDescent="0.4">
      <c r="A820" s="6">
        <f t="shared" si="25"/>
        <v>819</v>
      </c>
      <c r="B820" s="6" t="str">
        <f t="shared" si="24"/>
        <v>Policy819</v>
      </c>
      <c r="C820" s="7" t="s">
        <v>11</v>
      </c>
      <c r="D820" s="6">
        <v>2022</v>
      </c>
      <c r="E820" s="6">
        <v>2023</v>
      </c>
      <c r="F820" s="8">
        <v>13433</v>
      </c>
    </row>
    <row r="821" spans="1:6" x14ac:dyDescent="0.4">
      <c r="A821" s="6">
        <f t="shared" si="25"/>
        <v>820</v>
      </c>
      <c r="B821" s="6" t="str">
        <f t="shared" si="24"/>
        <v>Policy820</v>
      </c>
      <c r="C821" s="7" t="s">
        <v>12</v>
      </c>
      <c r="D821" s="6">
        <v>2022</v>
      </c>
      <c r="E821" s="6">
        <v>2023</v>
      </c>
      <c r="F821" s="8">
        <v>2506537</v>
      </c>
    </row>
    <row r="822" spans="1:6" x14ac:dyDescent="0.4">
      <c r="A822" s="6">
        <f t="shared" si="25"/>
        <v>821</v>
      </c>
      <c r="B822" s="6" t="str">
        <f t="shared" si="24"/>
        <v>Policy821</v>
      </c>
      <c r="C822" s="7" t="s">
        <v>12</v>
      </c>
      <c r="D822" s="6">
        <v>2025</v>
      </c>
      <c r="E822" s="6">
        <v>2026</v>
      </c>
      <c r="F822" s="8">
        <v>2144080</v>
      </c>
    </row>
    <row r="823" spans="1:6" x14ac:dyDescent="0.4">
      <c r="A823" s="6">
        <f t="shared" si="25"/>
        <v>822</v>
      </c>
      <c r="B823" s="6" t="str">
        <f t="shared" si="24"/>
        <v>Policy822</v>
      </c>
      <c r="C823" s="7" t="s">
        <v>12</v>
      </c>
      <c r="D823" s="6">
        <v>2023</v>
      </c>
      <c r="E823" s="6">
        <v>2026</v>
      </c>
      <c r="F823" s="8">
        <v>1423356</v>
      </c>
    </row>
    <row r="824" spans="1:6" x14ac:dyDescent="0.4">
      <c r="A824" s="6">
        <f t="shared" si="25"/>
        <v>823</v>
      </c>
      <c r="B824" s="6" t="str">
        <f t="shared" si="24"/>
        <v>Policy823</v>
      </c>
      <c r="C824" s="7" t="s">
        <v>11</v>
      </c>
      <c r="D824" s="6">
        <v>2022</v>
      </c>
      <c r="E824" s="6">
        <v>2023</v>
      </c>
      <c r="F824" s="8">
        <v>12604</v>
      </c>
    </row>
    <row r="825" spans="1:6" x14ac:dyDescent="0.4">
      <c r="A825" s="6">
        <f t="shared" si="25"/>
        <v>824</v>
      </c>
      <c r="B825" s="6" t="str">
        <f t="shared" si="24"/>
        <v>Policy824</v>
      </c>
      <c r="C825" s="7" t="s">
        <v>12</v>
      </c>
      <c r="D825" s="6">
        <v>2025</v>
      </c>
      <c r="E825" s="6">
        <v>2026</v>
      </c>
      <c r="F825" s="8">
        <v>4599509</v>
      </c>
    </row>
    <row r="826" spans="1:6" x14ac:dyDescent="0.4">
      <c r="A826" s="6">
        <f t="shared" si="25"/>
        <v>825</v>
      </c>
      <c r="B826" s="6" t="str">
        <f t="shared" si="24"/>
        <v>Policy825</v>
      </c>
      <c r="C826" s="7" t="s">
        <v>11</v>
      </c>
      <c r="D826" s="6">
        <v>2021</v>
      </c>
      <c r="E826" s="6">
        <v>2026</v>
      </c>
      <c r="F826" s="8">
        <v>41361</v>
      </c>
    </row>
    <row r="827" spans="1:6" x14ac:dyDescent="0.4">
      <c r="A827" s="6">
        <f t="shared" si="25"/>
        <v>826</v>
      </c>
      <c r="B827" s="6" t="str">
        <f t="shared" si="24"/>
        <v>Policy826</v>
      </c>
      <c r="C827" s="7" t="s">
        <v>11</v>
      </c>
      <c r="D827" s="6">
        <v>2022</v>
      </c>
      <c r="E827" s="6">
        <v>2025</v>
      </c>
      <c r="F827" s="8">
        <v>8797</v>
      </c>
    </row>
    <row r="828" spans="1:6" x14ac:dyDescent="0.4">
      <c r="A828" s="6">
        <f t="shared" si="25"/>
        <v>827</v>
      </c>
      <c r="B828" s="6" t="str">
        <f t="shared" si="24"/>
        <v>Policy827</v>
      </c>
      <c r="C828" s="7" t="s">
        <v>12</v>
      </c>
      <c r="D828" s="6">
        <v>2025</v>
      </c>
      <c r="E828" s="6">
        <v>2026</v>
      </c>
      <c r="F828" s="8">
        <v>268830</v>
      </c>
    </row>
    <row r="829" spans="1:6" x14ac:dyDescent="0.4">
      <c r="A829" s="6">
        <f t="shared" si="25"/>
        <v>828</v>
      </c>
      <c r="B829" s="6" t="str">
        <f t="shared" si="24"/>
        <v>Policy828</v>
      </c>
      <c r="C829" s="7" t="s">
        <v>11</v>
      </c>
      <c r="D829" s="6">
        <v>2021</v>
      </c>
      <c r="E829" s="6">
        <v>2025</v>
      </c>
      <c r="F829" s="8">
        <v>48392</v>
      </c>
    </row>
    <row r="830" spans="1:6" x14ac:dyDescent="0.4">
      <c r="A830" s="6">
        <f t="shared" si="25"/>
        <v>829</v>
      </c>
      <c r="B830" s="6" t="str">
        <f t="shared" si="24"/>
        <v>Policy829</v>
      </c>
      <c r="C830" s="7" t="s">
        <v>11</v>
      </c>
      <c r="D830" s="6">
        <v>2024</v>
      </c>
      <c r="E830" s="6">
        <v>2025</v>
      </c>
      <c r="F830" s="8">
        <v>25555</v>
      </c>
    </row>
    <row r="831" spans="1:6" x14ac:dyDescent="0.4">
      <c r="A831" s="6">
        <f t="shared" si="25"/>
        <v>830</v>
      </c>
      <c r="B831" s="6" t="str">
        <f t="shared" si="24"/>
        <v>Policy830</v>
      </c>
      <c r="C831" s="7" t="s">
        <v>11</v>
      </c>
      <c r="D831" s="6">
        <v>2023</v>
      </c>
      <c r="E831" s="6">
        <v>2026</v>
      </c>
      <c r="F831" s="8">
        <v>48903</v>
      </c>
    </row>
    <row r="832" spans="1:6" x14ac:dyDescent="0.4">
      <c r="A832" s="6">
        <f t="shared" si="25"/>
        <v>831</v>
      </c>
      <c r="B832" s="6" t="str">
        <f t="shared" si="24"/>
        <v>Policy831</v>
      </c>
      <c r="C832" s="7" t="s">
        <v>12</v>
      </c>
      <c r="D832" s="6">
        <v>2023</v>
      </c>
      <c r="E832" s="6">
        <v>2025</v>
      </c>
      <c r="F832" s="8">
        <v>3002337</v>
      </c>
    </row>
    <row r="833" spans="1:6" x14ac:dyDescent="0.4">
      <c r="A833" s="6">
        <f t="shared" si="25"/>
        <v>832</v>
      </c>
      <c r="B833" s="6" t="str">
        <f t="shared" si="24"/>
        <v>Policy832</v>
      </c>
      <c r="C833" s="7" t="s">
        <v>12</v>
      </c>
      <c r="D833" s="6">
        <v>2023</v>
      </c>
      <c r="E833" s="6">
        <v>2026</v>
      </c>
      <c r="F833" s="8">
        <v>2956292</v>
      </c>
    </row>
    <row r="834" spans="1:6" x14ac:dyDescent="0.4">
      <c r="A834" s="6">
        <f t="shared" si="25"/>
        <v>833</v>
      </c>
      <c r="B834" s="6" t="str">
        <f t="shared" si="24"/>
        <v>Policy833</v>
      </c>
      <c r="C834" s="7" t="s">
        <v>12</v>
      </c>
      <c r="D834" s="6">
        <v>2022</v>
      </c>
      <c r="E834" s="6">
        <v>2026</v>
      </c>
      <c r="F834" s="8">
        <v>3159361</v>
      </c>
    </row>
    <row r="835" spans="1:6" x14ac:dyDescent="0.4">
      <c r="A835" s="6">
        <f t="shared" si="25"/>
        <v>834</v>
      </c>
      <c r="B835" s="6" t="str">
        <f t="shared" ref="B835:B898" si="26">"Policy"&amp;A835</f>
        <v>Policy834</v>
      </c>
      <c r="C835" s="7" t="s">
        <v>11</v>
      </c>
      <c r="D835" s="6">
        <v>2021</v>
      </c>
      <c r="E835" s="6">
        <v>2023</v>
      </c>
      <c r="F835" s="8">
        <v>29269</v>
      </c>
    </row>
    <row r="836" spans="1:6" x14ac:dyDescent="0.4">
      <c r="A836" s="6">
        <f t="shared" ref="A836:A899" si="27">A835+1</f>
        <v>835</v>
      </c>
      <c r="B836" s="6" t="str">
        <f t="shared" si="26"/>
        <v>Policy835</v>
      </c>
      <c r="C836" s="7" t="s">
        <v>12</v>
      </c>
      <c r="D836" s="6">
        <v>2021</v>
      </c>
      <c r="E836" s="6">
        <v>2022</v>
      </c>
      <c r="F836" s="8">
        <v>2612808</v>
      </c>
    </row>
    <row r="837" spans="1:6" x14ac:dyDescent="0.4">
      <c r="A837" s="6">
        <f t="shared" si="27"/>
        <v>836</v>
      </c>
      <c r="B837" s="6" t="str">
        <f t="shared" si="26"/>
        <v>Policy836</v>
      </c>
      <c r="C837" s="7" t="s">
        <v>12</v>
      </c>
      <c r="D837" s="6">
        <v>2023</v>
      </c>
      <c r="E837" s="6">
        <v>2024</v>
      </c>
      <c r="F837" s="8">
        <v>3110532</v>
      </c>
    </row>
    <row r="838" spans="1:6" x14ac:dyDescent="0.4">
      <c r="A838" s="6">
        <f t="shared" si="27"/>
        <v>837</v>
      </c>
      <c r="B838" s="6" t="str">
        <f t="shared" si="26"/>
        <v>Policy837</v>
      </c>
      <c r="C838" s="7" t="s">
        <v>12</v>
      </c>
      <c r="D838" s="6">
        <v>2022</v>
      </c>
      <c r="E838" s="6">
        <v>2023</v>
      </c>
      <c r="F838" s="8">
        <v>1971803</v>
      </c>
    </row>
    <row r="839" spans="1:6" x14ac:dyDescent="0.4">
      <c r="A839" s="6">
        <f t="shared" si="27"/>
        <v>838</v>
      </c>
      <c r="B839" s="6" t="str">
        <f t="shared" si="26"/>
        <v>Policy838</v>
      </c>
      <c r="C839" s="7" t="s">
        <v>12</v>
      </c>
      <c r="D839" s="6">
        <v>2023</v>
      </c>
      <c r="E839" s="6">
        <v>2024</v>
      </c>
      <c r="F839" s="8">
        <v>3765692</v>
      </c>
    </row>
    <row r="840" spans="1:6" x14ac:dyDescent="0.4">
      <c r="A840" s="6">
        <f t="shared" si="27"/>
        <v>839</v>
      </c>
      <c r="B840" s="6" t="str">
        <f t="shared" si="26"/>
        <v>Policy839</v>
      </c>
      <c r="C840" s="7" t="s">
        <v>12</v>
      </c>
      <c r="D840" s="6">
        <v>2025</v>
      </c>
      <c r="E840" s="6">
        <v>2026</v>
      </c>
      <c r="F840" s="8">
        <v>1225538</v>
      </c>
    </row>
    <row r="841" spans="1:6" x14ac:dyDescent="0.4">
      <c r="A841" s="6">
        <f t="shared" si="27"/>
        <v>840</v>
      </c>
      <c r="B841" s="6" t="str">
        <f t="shared" si="26"/>
        <v>Policy840</v>
      </c>
      <c r="C841" s="7" t="s">
        <v>12</v>
      </c>
      <c r="D841" s="6">
        <v>2024</v>
      </c>
      <c r="E841" s="6">
        <v>2025</v>
      </c>
      <c r="F841" s="8">
        <v>600492</v>
      </c>
    </row>
    <row r="842" spans="1:6" x14ac:dyDescent="0.4">
      <c r="A842" s="6">
        <f t="shared" si="27"/>
        <v>841</v>
      </c>
      <c r="B842" s="6" t="str">
        <f t="shared" si="26"/>
        <v>Policy841</v>
      </c>
      <c r="C842" s="7" t="s">
        <v>12</v>
      </c>
      <c r="D842" s="6">
        <v>2024</v>
      </c>
      <c r="E842" s="6">
        <v>2026</v>
      </c>
      <c r="F842" s="8">
        <v>236529</v>
      </c>
    </row>
    <row r="843" spans="1:6" x14ac:dyDescent="0.4">
      <c r="A843" s="6">
        <f t="shared" si="27"/>
        <v>842</v>
      </c>
      <c r="B843" s="6" t="str">
        <f t="shared" si="26"/>
        <v>Policy842</v>
      </c>
      <c r="C843" s="7" t="s">
        <v>11</v>
      </c>
      <c r="D843" s="6">
        <v>2022</v>
      </c>
      <c r="E843" s="6">
        <v>2026</v>
      </c>
      <c r="F843" s="8">
        <v>26110</v>
      </c>
    </row>
    <row r="844" spans="1:6" x14ac:dyDescent="0.4">
      <c r="A844" s="6">
        <f t="shared" si="27"/>
        <v>843</v>
      </c>
      <c r="B844" s="6" t="str">
        <f t="shared" si="26"/>
        <v>Policy843</v>
      </c>
      <c r="C844" s="7" t="s">
        <v>11</v>
      </c>
      <c r="D844" s="6">
        <v>2024</v>
      </c>
      <c r="E844" s="6">
        <v>2025</v>
      </c>
      <c r="F844" s="8">
        <v>16234</v>
      </c>
    </row>
    <row r="845" spans="1:6" x14ac:dyDescent="0.4">
      <c r="A845" s="6">
        <f t="shared" si="27"/>
        <v>844</v>
      </c>
      <c r="B845" s="6" t="str">
        <f t="shared" si="26"/>
        <v>Policy844</v>
      </c>
      <c r="C845" s="7" t="s">
        <v>12</v>
      </c>
      <c r="D845" s="6">
        <v>2021</v>
      </c>
      <c r="E845" s="6">
        <v>2026</v>
      </c>
      <c r="F845" s="8">
        <v>2480731</v>
      </c>
    </row>
    <row r="846" spans="1:6" x14ac:dyDescent="0.4">
      <c r="A846" s="6">
        <f t="shared" si="27"/>
        <v>845</v>
      </c>
      <c r="B846" s="6" t="str">
        <f t="shared" si="26"/>
        <v>Policy845</v>
      </c>
      <c r="C846" s="7" t="s">
        <v>11</v>
      </c>
      <c r="D846" s="6">
        <v>2021</v>
      </c>
      <c r="E846" s="6">
        <v>2023</v>
      </c>
      <c r="F846" s="8">
        <v>4168</v>
      </c>
    </row>
    <row r="847" spans="1:6" x14ac:dyDescent="0.4">
      <c r="A847" s="6">
        <f t="shared" si="27"/>
        <v>846</v>
      </c>
      <c r="B847" s="6" t="str">
        <f t="shared" si="26"/>
        <v>Policy846</v>
      </c>
      <c r="C847" s="7" t="s">
        <v>12</v>
      </c>
      <c r="D847" s="6">
        <v>2025</v>
      </c>
      <c r="E847" s="6">
        <v>2026</v>
      </c>
      <c r="F847" s="8">
        <v>4531992</v>
      </c>
    </row>
    <row r="848" spans="1:6" x14ac:dyDescent="0.4">
      <c r="A848" s="6">
        <f t="shared" si="27"/>
        <v>847</v>
      </c>
      <c r="B848" s="6" t="str">
        <f t="shared" si="26"/>
        <v>Policy847</v>
      </c>
      <c r="C848" s="7" t="s">
        <v>12</v>
      </c>
      <c r="D848" s="6">
        <v>2022</v>
      </c>
      <c r="E848" s="6">
        <v>2026</v>
      </c>
      <c r="F848" s="8">
        <v>955653</v>
      </c>
    </row>
    <row r="849" spans="1:6" x14ac:dyDescent="0.4">
      <c r="A849" s="6">
        <f t="shared" si="27"/>
        <v>848</v>
      </c>
      <c r="B849" s="6" t="str">
        <f t="shared" si="26"/>
        <v>Policy848</v>
      </c>
      <c r="C849" s="7" t="s">
        <v>11</v>
      </c>
      <c r="D849" s="6">
        <v>2023</v>
      </c>
      <c r="E849" s="6">
        <v>2024</v>
      </c>
      <c r="F849" s="8">
        <v>9305</v>
      </c>
    </row>
    <row r="850" spans="1:6" x14ac:dyDescent="0.4">
      <c r="A850" s="6">
        <f t="shared" si="27"/>
        <v>849</v>
      </c>
      <c r="B850" s="6" t="str">
        <f t="shared" si="26"/>
        <v>Policy849</v>
      </c>
      <c r="C850" s="7" t="s">
        <v>11</v>
      </c>
      <c r="D850" s="6">
        <v>2023</v>
      </c>
      <c r="E850" s="6">
        <v>2026</v>
      </c>
      <c r="F850" s="8">
        <v>22087</v>
      </c>
    </row>
    <row r="851" spans="1:6" x14ac:dyDescent="0.4">
      <c r="A851" s="6">
        <f t="shared" si="27"/>
        <v>850</v>
      </c>
      <c r="B851" s="6" t="str">
        <f t="shared" si="26"/>
        <v>Policy850</v>
      </c>
      <c r="C851" s="7" t="s">
        <v>12</v>
      </c>
      <c r="D851" s="6">
        <v>2025</v>
      </c>
      <c r="E851" s="6">
        <v>2026</v>
      </c>
      <c r="F851" s="8">
        <v>2693306</v>
      </c>
    </row>
    <row r="852" spans="1:6" x14ac:dyDescent="0.4">
      <c r="A852" s="6">
        <f t="shared" si="27"/>
        <v>851</v>
      </c>
      <c r="B852" s="6" t="str">
        <f t="shared" si="26"/>
        <v>Policy851</v>
      </c>
      <c r="C852" s="7" t="s">
        <v>11</v>
      </c>
      <c r="D852" s="6">
        <v>2025</v>
      </c>
      <c r="E852" s="6">
        <v>2026</v>
      </c>
      <c r="F852" s="8">
        <v>447</v>
      </c>
    </row>
    <row r="853" spans="1:6" x14ac:dyDescent="0.4">
      <c r="A853" s="6">
        <f t="shared" si="27"/>
        <v>852</v>
      </c>
      <c r="B853" s="6" t="str">
        <f t="shared" si="26"/>
        <v>Policy852</v>
      </c>
      <c r="C853" s="7" t="s">
        <v>11</v>
      </c>
      <c r="D853" s="6">
        <v>2025</v>
      </c>
      <c r="E853" s="6">
        <v>2026</v>
      </c>
      <c r="F853" s="8">
        <v>42252</v>
      </c>
    </row>
    <row r="854" spans="1:6" x14ac:dyDescent="0.4">
      <c r="A854" s="6">
        <f t="shared" si="27"/>
        <v>853</v>
      </c>
      <c r="B854" s="6" t="str">
        <f t="shared" si="26"/>
        <v>Policy853</v>
      </c>
      <c r="C854" s="7" t="s">
        <v>12</v>
      </c>
      <c r="D854" s="6">
        <v>2024</v>
      </c>
      <c r="E854" s="6">
        <v>2026</v>
      </c>
      <c r="F854" s="8">
        <v>872220</v>
      </c>
    </row>
    <row r="855" spans="1:6" x14ac:dyDescent="0.4">
      <c r="A855" s="6">
        <f t="shared" si="27"/>
        <v>854</v>
      </c>
      <c r="B855" s="6" t="str">
        <f t="shared" si="26"/>
        <v>Policy854</v>
      </c>
      <c r="C855" s="7" t="s">
        <v>12</v>
      </c>
      <c r="D855" s="6">
        <v>2021</v>
      </c>
      <c r="E855" s="6">
        <v>2022</v>
      </c>
      <c r="F855" s="8">
        <v>620692</v>
      </c>
    </row>
    <row r="856" spans="1:6" x14ac:dyDescent="0.4">
      <c r="A856" s="6">
        <f t="shared" si="27"/>
        <v>855</v>
      </c>
      <c r="B856" s="6" t="str">
        <f t="shared" si="26"/>
        <v>Policy855</v>
      </c>
      <c r="C856" s="7" t="s">
        <v>12</v>
      </c>
      <c r="D856" s="6">
        <v>2024</v>
      </c>
      <c r="E856" s="6">
        <v>2026</v>
      </c>
      <c r="F856" s="8">
        <v>4533760</v>
      </c>
    </row>
    <row r="857" spans="1:6" x14ac:dyDescent="0.4">
      <c r="A857" s="6">
        <f t="shared" si="27"/>
        <v>856</v>
      </c>
      <c r="B857" s="6" t="str">
        <f t="shared" si="26"/>
        <v>Policy856</v>
      </c>
      <c r="C857" s="7" t="s">
        <v>11</v>
      </c>
      <c r="D857" s="6">
        <v>2024</v>
      </c>
      <c r="E857" s="6">
        <v>2026</v>
      </c>
      <c r="F857" s="8">
        <v>23813</v>
      </c>
    </row>
    <row r="858" spans="1:6" x14ac:dyDescent="0.4">
      <c r="A858" s="6">
        <f t="shared" si="27"/>
        <v>857</v>
      </c>
      <c r="B858" s="6" t="str">
        <f t="shared" si="26"/>
        <v>Policy857</v>
      </c>
      <c r="C858" s="7" t="s">
        <v>12</v>
      </c>
      <c r="D858" s="6">
        <v>2022</v>
      </c>
      <c r="E858" s="6">
        <v>2025</v>
      </c>
      <c r="F858" s="8">
        <v>491420</v>
      </c>
    </row>
    <row r="859" spans="1:6" x14ac:dyDescent="0.4">
      <c r="A859" s="6">
        <f t="shared" si="27"/>
        <v>858</v>
      </c>
      <c r="B859" s="6" t="str">
        <f t="shared" si="26"/>
        <v>Policy858</v>
      </c>
      <c r="C859" s="7" t="s">
        <v>11</v>
      </c>
      <c r="D859" s="6">
        <v>2025</v>
      </c>
      <c r="E859" s="6">
        <v>2026</v>
      </c>
      <c r="F859" s="8">
        <v>25868</v>
      </c>
    </row>
    <row r="860" spans="1:6" x14ac:dyDescent="0.4">
      <c r="A860" s="6">
        <f t="shared" si="27"/>
        <v>859</v>
      </c>
      <c r="B860" s="6" t="str">
        <f t="shared" si="26"/>
        <v>Policy859</v>
      </c>
      <c r="C860" s="7" t="s">
        <v>11</v>
      </c>
      <c r="D860" s="6">
        <v>2025</v>
      </c>
      <c r="E860" s="6">
        <v>2026</v>
      </c>
      <c r="F860" s="8">
        <v>38845</v>
      </c>
    </row>
    <row r="861" spans="1:6" x14ac:dyDescent="0.4">
      <c r="A861" s="6">
        <f t="shared" si="27"/>
        <v>860</v>
      </c>
      <c r="B861" s="6" t="str">
        <f t="shared" si="26"/>
        <v>Policy860</v>
      </c>
      <c r="C861" s="7" t="s">
        <v>12</v>
      </c>
      <c r="D861" s="6">
        <v>2021</v>
      </c>
      <c r="E861" s="6">
        <v>2023</v>
      </c>
      <c r="F861" s="8">
        <v>1447677</v>
      </c>
    </row>
    <row r="862" spans="1:6" x14ac:dyDescent="0.4">
      <c r="A862" s="6">
        <f t="shared" si="27"/>
        <v>861</v>
      </c>
      <c r="B862" s="6" t="str">
        <f t="shared" si="26"/>
        <v>Policy861</v>
      </c>
      <c r="C862" s="7" t="s">
        <v>12</v>
      </c>
      <c r="D862" s="6">
        <v>2023</v>
      </c>
      <c r="E862" s="6">
        <v>2026</v>
      </c>
      <c r="F862" s="8">
        <v>3397776</v>
      </c>
    </row>
    <row r="863" spans="1:6" x14ac:dyDescent="0.4">
      <c r="A863" s="6">
        <f t="shared" si="27"/>
        <v>862</v>
      </c>
      <c r="B863" s="6" t="str">
        <f t="shared" si="26"/>
        <v>Policy862</v>
      </c>
      <c r="C863" s="7" t="s">
        <v>11</v>
      </c>
      <c r="D863" s="6">
        <v>2022</v>
      </c>
      <c r="E863" s="6">
        <v>2023</v>
      </c>
      <c r="F863" s="8">
        <v>21743</v>
      </c>
    </row>
    <row r="864" spans="1:6" x14ac:dyDescent="0.4">
      <c r="A864" s="6">
        <f t="shared" si="27"/>
        <v>863</v>
      </c>
      <c r="B864" s="6" t="str">
        <f t="shared" si="26"/>
        <v>Policy863</v>
      </c>
      <c r="C864" s="7" t="s">
        <v>11</v>
      </c>
      <c r="D864" s="6">
        <v>2024</v>
      </c>
      <c r="E864" s="6">
        <v>2025</v>
      </c>
      <c r="F864" s="8">
        <v>2072</v>
      </c>
    </row>
    <row r="865" spans="1:6" x14ac:dyDescent="0.4">
      <c r="A865" s="6">
        <f t="shared" si="27"/>
        <v>864</v>
      </c>
      <c r="B865" s="6" t="str">
        <f t="shared" si="26"/>
        <v>Policy864</v>
      </c>
      <c r="C865" s="7" t="s">
        <v>12</v>
      </c>
      <c r="D865" s="6">
        <v>2021</v>
      </c>
      <c r="E865" s="6">
        <v>2025</v>
      </c>
      <c r="F865" s="8">
        <v>3744071</v>
      </c>
    </row>
    <row r="866" spans="1:6" x14ac:dyDescent="0.4">
      <c r="A866" s="6">
        <f t="shared" si="27"/>
        <v>865</v>
      </c>
      <c r="B866" s="6" t="str">
        <f t="shared" si="26"/>
        <v>Policy865</v>
      </c>
      <c r="C866" s="7" t="s">
        <v>11</v>
      </c>
      <c r="D866" s="6">
        <v>2025</v>
      </c>
      <c r="E866" s="6">
        <v>2026</v>
      </c>
      <c r="F866" s="8">
        <v>34303</v>
      </c>
    </row>
    <row r="867" spans="1:6" x14ac:dyDescent="0.4">
      <c r="A867" s="6">
        <f t="shared" si="27"/>
        <v>866</v>
      </c>
      <c r="B867" s="6" t="str">
        <f t="shared" si="26"/>
        <v>Policy866</v>
      </c>
      <c r="C867" s="7" t="s">
        <v>12</v>
      </c>
      <c r="D867" s="6">
        <v>2021</v>
      </c>
      <c r="E867" s="6">
        <v>2025</v>
      </c>
      <c r="F867" s="8">
        <v>2156742</v>
      </c>
    </row>
    <row r="868" spans="1:6" x14ac:dyDescent="0.4">
      <c r="A868" s="6">
        <f t="shared" si="27"/>
        <v>867</v>
      </c>
      <c r="B868" s="6" t="str">
        <f t="shared" si="26"/>
        <v>Policy867</v>
      </c>
      <c r="C868" s="7" t="s">
        <v>11</v>
      </c>
      <c r="D868" s="6">
        <v>2024</v>
      </c>
      <c r="E868" s="6">
        <v>2026</v>
      </c>
      <c r="F868" s="8">
        <v>49857</v>
      </c>
    </row>
    <row r="869" spans="1:6" x14ac:dyDescent="0.4">
      <c r="A869" s="6">
        <f t="shared" si="27"/>
        <v>868</v>
      </c>
      <c r="B869" s="6" t="str">
        <f t="shared" si="26"/>
        <v>Policy868</v>
      </c>
      <c r="C869" s="7" t="s">
        <v>12</v>
      </c>
      <c r="D869" s="6">
        <v>2021</v>
      </c>
      <c r="E869" s="6">
        <v>2022</v>
      </c>
      <c r="F869" s="8">
        <v>1887316</v>
      </c>
    </row>
    <row r="870" spans="1:6" x14ac:dyDescent="0.4">
      <c r="A870" s="6">
        <f t="shared" si="27"/>
        <v>869</v>
      </c>
      <c r="B870" s="6" t="str">
        <f t="shared" si="26"/>
        <v>Policy869</v>
      </c>
      <c r="C870" s="7" t="s">
        <v>11</v>
      </c>
      <c r="D870" s="6">
        <v>2022</v>
      </c>
      <c r="E870" s="6">
        <v>2026</v>
      </c>
      <c r="F870" s="8">
        <v>13502</v>
      </c>
    </row>
    <row r="871" spans="1:6" x14ac:dyDescent="0.4">
      <c r="A871" s="6">
        <f t="shared" si="27"/>
        <v>870</v>
      </c>
      <c r="B871" s="6" t="str">
        <f t="shared" si="26"/>
        <v>Policy870</v>
      </c>
      <c r="C871" s="7" t="s">
        <v>12</v>
      </c>
      <c r="D871" s="6">
        <v>2021</v>
      </c>
      <c r="E871" s="6">
        <v>2025</v>
      </c>
      <c r="F871" s="8">
        <v>3041393</v>
      </c>
    </row>
    <row r="872" spans="1:6" x14ac:dyDescent="0.4">
      <c r="A872" s="6">
        <f t="shared" si="27"/>
        <v>871</v>
      </c>
      <c r="B872" s="6" t="str">
        <f t="shared" si="26"/>
        <v>Policy871</v>
      </c>
      <c r="C872" s="7" t="s">
        <v>11</v>
      </c>
      <c r="D872" s="6">
        <v>2022</v>
      </c>
      <c r="E872" s="6">
        <v>2026</v>
      </c>
      <c r="F872" s="8">
        <v>4045</v>
      </c>
    </row>
    <row r="873" spans="1:6" x14ac:dyDescent="0.4">
      <c r="A873" s="6">
        <f t="shared" si="27"/>
        <v>872</v>
      </c>
      <c r="B873" s="6" t="str">
        <f t="shared" si="26"/>
        <v>Policy872</v>
      </c>
      <c r="C873" s="7" t="s">
        <v>12</v>
      </c>
      <c r="D873" s="6">
        <v>2021</v>
      </c>
      <c r="E873" s="6">
        <v>2026</v>
      </c>
      <c r="F873" s="8">
        <v>1725006</v>
      </c>
    </row>
    <row r="874" spans="1:6" x14ac:dyDescent="0.4">
      <c r="A874" s="6">
        <f t="shared" si="27"/>
        <v>873</v>
      </c>
      <c r="B874" s="6" t="str">
        <f t="shared" si="26"/>
        <v>Policy873</v>
      </c>
      <c r="C874" s="7" t="s">
        <v>11</v>
      </c>
      <c r="D874" s="6">
        <v>2025</v>
      </c>
      <c r="E874" s="6">
        <v>2026</v>
      </c>
      <c r="F874" s="8">
        <v>29569</v>
      </c>
    </row>
    <row r="875" spans="1:6" x14ac:dyDescent="0.4">
      <c r="A875" s="6">
        <f t="shared" si="27"/>
        <v>874</v>
      </c>
      <c r="B875" s="6" t="str">
        <f t="shared" si="26"/>
        <v>Policy874</v>
      </c>
      <c r="C875" s="7" t="s">
        <v>12</v>
      </c>
      <c r="D875" s="6">
        <v>2021</v>
      </c>
      <c r="E875" s="6">
        <v>2023</v>
      </c>
      <c r="F875" s="8">
        <v>1592886</v>
      </c>
    </row>
    <row r="876" spans="1:6" x14ac:dyDescent="0.4">
      <c r="A876" s="6">
        <f t="shared" si="27"/>
        <v>875</v>
      </c>
      <c r="B876" s="6" t="str">
        <f t="shared" si="26"/>
        <v>Policy875</v>
      </c>
      <c r="C876" s="7" t="s">
        <v>12</v>
      </c>
      <c r="D876" s="6">
        <v>2025</v>
      </c>
      <c r="E876" s="6">
        <v>2026</v>
      </c>
      <c r="F876" s="8">
        <v>4562286</v>
      </c>
    </row>
    <row r="877" spans="1:6" x14ac:dyDescent="0.4">
      <c r="A877" s="6">
        <f t="shared" si="27"/>
        <v>876</v>
      </c>
      <c r="B877" s="6" t="str">
        <f t="shared" si="26"/>
        <v>Policy876</v>
      </c>
      <c r="C877" s="7" t="s">
        <v>12</v>
      </c>
      <c r="D877" s="6">
        <v>2025</v>
      </c>
      <c r="E877" s="6">
        <v>2026</v>
      </c>
      <c r="F877" s="8">
        <v>2529858</v>
      </c>
    </row>
    <row r="878" spans="1:6" x14ac:dyDescent="0.4">
      <c r="A878" s="6">
        <f t="shared" si="27"/>
        <v>877</v>
      </c>
      <c r="B878" s="6" t="str">
        <f t="shared" si="26"/>
        <v>Policy877</v>
      </c>
      <c r="C878" s="7" t="s">
        <v>11</v>
      </c>
      <c r="D878" s="6">
        <v>2022</v>
      </c>
      <c r="E878" s="6">
        <v>2024</v>
      </c>
      <c r="F878" s="8">
        <v>3767</v>
      </c>
    </row>
    <row r="879" spans="1:6" x14ac:dyDescent="0.4">
      <c r="A879" s="6">
        <f t="shared" si="27"/>
        <v>878</v>
      </c>
      <c r="B879" s="6" t="str">
        <f t="shared" si="26"/>
        <v>Policy878</v>
      </c>
      <c r="C879" s="7" t="s">
        <v>12</v>
      </c>
      <c r="D879" s="6">
        <v>2023</v>
      </c>
      <c r="E879" s="6">
        <v>2026</v>
      </c>
      <c r="F879" s="8">
        <v>3677169</v>
      </c>
    </row>
    <row r="880" spans="1:6" x14ac:dyDescent="0.4">
      <c r="A880" s="6">
        <f t="shared" si="27"/>
        <v>879</v>
      </c>
      <c r="B880" s="6" t="str">
        <f t="shared" si="26"/>
        <v>Policy879</v>
      </c>
      <c r="C880" s="7" t="s">
        <v>11</v>
      </c>
      <c r="D880" s="6">
        <v>2023</v>
      </c>
      <c r="E880" s="6">
        <v>2026</v>
      </c>
      <c r="F880" s="8">
        <v>6943</v>
      </c>
    </row>
    <row r="881" spans="1:6" x14ac:dyDescent="0.4">
      <c r="A881" s="6">
        <f t="shared" si="27"/>
        <v>880</v>
      </c>
      <c r="B881" s="6" t="str">
        <f t="shared" si="26"/>
        <v>Policy880</v>
      </c>
      <c r="C881" s="7" t="s">
        <v>11</v>
      </c>
      <c r="D881" s="6">
        <v>2024</v>
      </c>
      <c r="E881" s="6">
        <v>2026</v>
      </c>
      <c r="F881" s="8">
        <v>319</v>
      </c>
    </row>
    <row r="882" spans="1:6" x14ac:dyDescent="0.4">
      <c r="A882" s="6">
        <f t="shared" si="27"/>
        <v>881</v>
      </c>
      <c r="B882" s="6" t="str">
        <f t="shared" si="26"/>
        <v>Policy881</v>
      </c>
      <c r="C882" s="7" t="s">
        <v>11</v>
      </c>
      <c r="D882" s="6">
        <v>2025</v>
      </c>
      <c r="E882" s="6">
        <v>2026</v>
      </c>
      <c r="F882" s="8">
        <v>24584</v>
      </c>
    </row>
    <row r="883" spans="1:6" x14ac:dyDescent="0.4">
      <c r="A883" s="6">
        <f t="shared" si="27"/>
        <v>882</v>
      </c>
      <c r="B883" s="6" t="str">
        <f t="shared" si="26"/>
        <v>Policy882</v>
      </c>
      <c r="C883" s="7" t="s">
        <v>12</v>
      </c>
      <c r="D883" s="6">
        <v>2025</v>
      </c>
      <c r="E883" s="6">
        <v>2026</v>
      </c>
      <c r="F883" s="8">
        <v>4564405</v>
      </c>
    </row>
    <row r="884" spans="1:6" x14ac:dyDescent="0.4">
      <c r="A884" s="6">
        <f t="shared" si="27"/>
        <v>883</v>
      </c>
      <c r="B884" s="6" t="str">
        <f t="shared" si="26"/>
        <v>Policy883</v>
      </c>
      <c r="C884" s="7" t="s">
        <v>11</v>
      </c>
      <c r="D884" s="6">
        <v>2023</v>
      </c>
      <c r="E884" s="6">
        <v>2025</v>
      </c>
      <c r="F884" s="8">
        <v>24651</v>
      </c>
    </row>
    <row r="885" spans="1:6" x14ac:dyDescent="0.4">
      <c r="A885" s="6">
        <f t="shared" si="27"/>
        <v>884</v>
      </c>
      <c r="B885" s="6" t="str">
        <f t="shared" si="26"/>
        <v>Policy884</v>
      </c>
      <c r="C885" s="7" t="s">
        <v>12</v>
      </c>
      <c r="D885" s="6">
        <v>2022</v>
      </c>
      <c r="E885" s="6">
        <v>2025</v>
      </c>
      <c r="F885" s="8">
        <v>1132135</v>
      </c>
    </row>
    <row r="886" spans="1:6" x14ac:dyDescent="0.4">
      <c r="A886" s="6">
        <f t="shared" si="27"/>
        <v>885</v>
      </c>
      <c r="B886" s="6" t="str">
        <f t="shared" si="26"/>
        <v>Policy885</v>
      </c>
      <c r="C886" s="7" t="s">
        <v>12</v>
      </c>
      <c r="D886" s="6">
        <v>2022</v>
      </c>
      <c r="E886" s="6">
        <v>2023</v>
      </c>
      <c r="F886" s="8">
        <v>391145</v>
      </c>
    </row>
    <row r="887" spans="1:6" x14ac:dyDescent="0.4">
      <c r="A887" s="6">
        <f t="shared" si="27"/>
        <v>886</v>
      </c>
      <c r="B887" s="6" t="str">
        <f t="shared" si="26"/>
        <v>Policy886</v>
      </c>
      <c r="C887" s="7" t="s">
        <v>11</v>
      </c>
      <c r="D887" s="6">
        <v>2023</v>
      </c>
      <c r="E887" s="6">
        <v>2024</v>
      </c>
      <c r="F887" s="8">
        <v>18387</v>
      </c>
    </row>
    <row r="888" spans="1:6" x14ac:dyDescent="0.4">
      <c r="A888" s="6">
        <f t="shared" si="27"/>
        <v>887</v>
      </c>
      <c r="B888" s="6" t="str">
        <f t="shared" si="26"/>
        <v>Policy887</v>
      </c>
      <c r="C888" s="7" t="s">
        <v>11</v>
      </c>
      <c r="D888" s="6">
        <v>2021</v>
      </c>
      <c r="E888" s="6">
        <v>2026</v>
      </c>
      <c r="F888" s="8">
        <v>31207</v>
      </c>
    </row>
    <row r="889" spans="1:6" x14ac:dyDescent="0.4">
      <c r="A889" s="6">
        <f t="shared" si="27"/>
        <v>888</v>
      </c>
      <c r="B889" s="6" t="str">
        <f t="shared" si="26"/>
        <v>Policy888</v>
      </c>
      <c r="C889" s="7" t="s">
        <v>11</v>
      </c>
      <c r="D889" s="6">
        <v>2022</v>
      </c>
      <c r="E889" s="6">
        <v>2024</v>
      </c>
      <c r="F889" s="8">
        <v>11248</v>
      </c>
    </row>
    <row r="890" spans="1:6" x14ac:dyDescent="0.4">
      <c r="A890" s="6">
        <f t="shared" si="27"/>
        <v>889</v>
      </c>
      <c r="B890" s="6" t="str">
        <f t="shared" si="26"/>
        <v>Policy889</v>
      </c>
      <c r="C890" s="7" t="s">
        <v>11</v>
      </c>
      <c r="D890" s="6">
        <v>2023</v>
      </c>
      <c r="E890" s="6">
        <v>2025</v>
      </c>
      <c r="F890" s="8">
        <v>42163</v>
      </c>
    </row>
    <row r="891" spans="1:6" x14ac:dyDescent="0.4">
      <c r="A891" s="6">
        <f t="shared" si="27"/>
        <v>890</v>
      </c>
      <c r="B891" s="6" t="str">
        <f t="shared" si="26"/>
        <v>Policy890</v>
      </c>
      <c r="C891" s="7" t="s">
        <v>11</v>
      </c>
      <c r="D891" s="6">
        <v>2022</v>
      </c>
      <c r="E891" s="6">
        <v>2025</v>
      </c>
      <c r="F891" s="8">
        <v>22422</v>
      </c>
    </row>
    <row r="892" spans="1:6" x14ac:dyDescent="0.4">
      <c r="A892" s="6">
        <f t="shared" si="27"/>
        <v>891</v>
      </c>
      <c r="B892" s="6" t="str">
        <f t="shared" si="26"/>
        <v>Policy891</v>
      </c>
      <c r="C892" s="7" t="s">
        <v>12</v>
      </c>
      <c r="D892" s="6">
        <v>2022</v>
      </c>
      <c r="E892" s="6">
        <v>2023</v>
      </c>
      <c r="F892" s="8">
        <v>3105902</v>
      </c>
    </row>
    <row r="893" spans="1:6" x14ac:dyDescent="0.4">
      <c r="A893" s="6">
        <f t="shared" si="27"/>
        <v>892</v>
      </c>
      <c r="B893" s="6" t="str">
        <f t="shared" si="26"/>
        <v>Policy892</v>
      </c>
      <c r="C893" s="7" t="s">
        <v>11</v>
      </c>
      <c r="D893" s="6">
        <v>2021</v>
      </c>
      <c r="E893" s="6">
        <v>2024</v>
      </c>
      <c r="F893" s="8">
        <v>41794</v>
      </c>
    </row>
    <row r="894" spans="1:6" x14ac:dyDescent="0.4">
      <c r="A894" s="6">
        <f t="shared" si="27"/>
        <v>893</v>
      </c>
      <c r="B894" s="6" t="str">
        <f t="shared" si="26"/>
        <v>Policy893</v>
      </c>
      <c r="C894" s="7" t="s">
        <v>11</v>
      </c>
      <c r="D894" s="6">
        <v>2022</v>
      </c>
      <c r="E894" s="6">
        <v>2024</v>
      </c>
      <c r="F894" s="8">
        <v>3392</v>
      </c>
    </row>
    <row r="895" spans="1:6" x14ac:dyDescent="0.4">
      <c r="A895" s="6">
        <f t="shared" si="27"/>
        <v>894</v>
      </c>
      <c r="B895" s="6" t="str">
        <f t="shared" si="26"/>
        <v>Policy894</v>
      </c>
      <c r="C895" s="7" t="s">
        <v>12</v>
      </c>
      <c r="D895" s="6">
        <v>2025</v>
      </c>
      <c r="E895" s="6">
        <v>2026</v>
      </c>
      <c r="F895" s="8">
        <v>374779</v>
      </c>
    </row>
    <row r="896" spans="1:6" x14ac:dyDescent="0.4">
      <c r="A896" s="6">
        <f t="shared" si="27"/>
        <v>895</v>
      </c>
      <c r="B896" s="6" t="str">
        <f t="shared" si="26"/>
        <v>Policy895</v>
      </c>
      <c r="C896" s="7" t="s">
        <v>11</v>
      </c>
      <c r="D896" s="6">
        <v>2022</v>
      </c>
      <c r="E896" s="6">
        <v>2024</v>
      </c>
      <c r="F896" s="8">
        <v>3139</v>
      </c>
    </row>
    <row r="897" spans="1:6" x14ac:dyDescent="0.4">
      <c r="A897" s="6">
        <f t="shared" si="27"/>
        <v>896</v>
      </c>
      <c r="B897" s="6" t="str">
        <f t="shared" si="26"/>
        <v>Policy896</v>
      </c>
      <c r="C897" s="7" t="s">
        <v>12</v>
      </c>
      <c r="D897" s="6">
        <v>2021</v>
      </c>
      <c r="E897" s="6">
        <v>2024</v>
      </c>
      <c r="F897" s="8">
        <v>2988131</v>
      </c>
    </row>
    <row r="898" spans="1:6" x14ac:dyDescent="0.4">
      <c r="A898" s="6">
        <f t="shared" si="27"/>
        <v>897</v>
      </c>
      <c r="B898" s="6" t="str">
        <f t="shared" si="26"/>
        <v>Policy897</v>
      </c>
      <c r="C898" s="7" t="s">
        <v>12</v>
      </c>
      <c r="D898" s="6">
        <v>2024</v>
      </c>
      <c r="E898" s="6">
        <v>2025</v>
      </c>
      <c r="F898" s="8">
        <v>355039</v>
      </c>
    </row>
    <row r="899" spans="1:6" x14ac:dyDescent="0.4">
      <c r="A899" s="6">
        <f t="shared" si="27"/>
        <v>898</v>
      </c>
      <c r="B899" s="6" t="str">
        <f t="shared" ref="B899:B962" si="28">"Policy"&amp;A899</f>
        <v>Policy898</v>
      </c>
      <c r="C899" s="7" t="s">
        <v>11</v>
      </c>
      <c r="D899" s="6">
        <v>2021</v>
      </c>
      <c r="E899" s="6">
        <v>2023</v>
      </c>
      <c r="F899" s="8">
        <v>1619</v>
      </c>
    </row>
    <row r="900" spans="1:6" x14ac:dyDescent="0.4">
      <c r="A900" s="6">
        <f t="shared" ref="A900:A963" si="29">A899+1</f>
        <v>899</v>
      </c>
      <c r="B900" s="6" t="str">
        <f t="shared" si="28"/>
        <v>Policy899</v>
      </c>
      <c r="C900" s="7" t="s">
        <v>12</v>
      </c>
      <c r="D900" s="6">
        <v>2022</v>
      </c>
      <c r="E900" s="6">
        <v>2024</v>
      </c>
      <c r="F900" s="8">
        <v>3884573</v>
      </c>
    </row>
    <row r="901" spans="1:6" x14ac:dyDescent="0.4">
      <c r="A901" s="6">
        <f t="shared" si="29"/>
        <v>900</v>
      </c>
      <c r="B901" s="6" t="str">
        <f t="shared" si="28"/>
        <v>Policy900</v>
      </c>
      <c r="C901" s="7" t="s">
        <v>12</v>
      </c>
      <c r="D901" s="6">
        <v>2025</v>
      </c>
      <c r="E901" s="6">
        <v>2026</v>
      </c>
      <c r="F901" s="8">
        <v>3034646</v>
      </c>
    </row>
    <row r="902" spans="1:6" x14ac:dyDescent="0.4">
      <c r="A902" s="6">
        <f t="shared" si="29"/>
        <v>901</v>
      </c>
      <c r="B902" s="6" t="str">
        <f t="shared" si="28"/>
        <v>Policy901</v>
      </c>
      <c r="C902" s="7" t="s">
        <v>11</v>
      </c>
      <c r="D902" s="6">
        <v>2023</v>
      </c>
      <c r="E902" s="6">
        <v>2024</v>
      </c>
      <c r="F902" s="8">
        <v>48366</v>
      </c>
    </row>
    <row r="903" spans="1:6" x14ac:dyDescent="0.4">
      <c r="A903" s="6">
        <f t="shared" si="29"/>
        <v>902</v>
      </c>
      <c r="B903" s="6" t="str">
        <f t="shared" si="28"/>
        <v>Policy902</v>
      </c>
      <c r="C903" s="7" t="s">
        <v>11</v>
      </c>
      <c r="D903" s="6">
        <v>2025</v>
      </c>
      <c r="E903" s="6">
        <v>2026</v>
      </c>
      <c r="F903" s="8">
        <v>20850</v>
      </c>
    </row>
    <row r="904" spans="1:6" x14ac:dyDescent="0.4">
      <c r="A904" s="6">
        <f t="shared" si="29"/>
        <v>903</v>
      </c>
      <c r="B904" s="6" t="str">
        <f t="shared" si="28"/>
        <v>Policy903</v>
      </c>
      <c r="C904" s="7" t="s">
        <v>11</v>
      </c>
      <c r="D904" s="6">
        <v>2024</v>
      </c>
      <c r="E904" s="6">
        <v>2026</v>
      </c>
      <c r="F904" s="8">
        <v>12322</v>
      </c>
    </row>
    <row r="905" spans="1:6" x14ac:dyDescent="0.4">
      <c r="A905" s="6">
        <f t="shared" si="29"/>
        <v>904</v>
      </c>
      <c r="B905" s="6" t="str">
        <f t="shared" si="28"/>
        <v>Policy904</v>
      </c>
      <c r="C905" s="7" t="s">
        <v>11</v>
      </c>
      <c r="D905" s="6">
        <v>2021</v>
      </c>
      <c r="E905" s="6">
        <v>2025</v>
      </c>
      <c r="F905" s="8">
        <v>14292</v>
      </c>
    </row>
    <row r="906" spans="1:6" x14ac:dyDescent="0.4">
      <c r="A906" s="6">
        <f t="shared" si="29"/>
        <v>905</v>
      </c>
      <c r="B906" s="6" t="str">
        <f t="shared" si="28"/>
        <v>Policy905</v>
      </c>
      <c r="C906" s="7" t="s">
        <v>11</v>
      </c>
      <c r="D906" s="6">
        <v>2024</v>
      </c>
      <c r="E906" s="6">
        <v>2026</v>
      </c>
      <c r="F906" s="8">
        <v>35798</v>
      </c>
    </row>
    <row r="907" spans="1:6" x14ac:dyDescent="0.4">
      <c r="A907" s="6">
        <f t="shared" si="29"/>
        <v>906</v>
      </c>
      <c r="B907" s="6" t="str">
        <f t="shared" si="28"/>
        <v>Policy906</v>
      </c>
      <c r="C907" s="7" t="s">
        <v>11</v>
      </c>
      <c r="D907" s="6">
        <v>2021</v>
      </c>
      <c r="E907" s="6">
        <v>2026</v>
      </c>
      <c r="F907" s="8">
        <v>30357</v>
      </c>
    </row>
    <row r="908" spans="1:6" x14ac:dyDescent="0.4">
      <c r="A908" s="6">
        <f t="shared" si="29"/>
        <v>907</v>
      </c>
      <c r="B908" s="6" t="str">
        <f t="shared" si="28"/>
        <v>Policy907</v>
      </c>
      <c r="C908" s="7" t="s">
        <v>11</v>
      </c>
      <c r="D908" s="6">
        <v>2024</v>
      </c>
      <c r="E908" s="6">
        <v>2025</v>
      </c>
      <c r="F908" s="8">
        <v>7259</v>
      </c>
    </row>
    <row r="909" spans="1:6" x14ac:dyDescent="0.4">
      <c r="A909" s="6">
        <f t="shared" si="29"/>
        <v>908</v>
      </c>
      <c r="B909" s="6" t="str">
        <f t="shared" si="28"/>
        <v>Policy908</v>
      </c>
      <c r="C909" s="7" t="s">
        <v>11</v>
      </c>
      <c r="D909" s="6">
        <v>2023</v>
      </c>
      <c r="E909" s="6">
        <v>2026</v>
      </c>
      <c r="F909" s="8">
        <v>1104</v>
      </c>
    </row>
    <row r="910" spans="1:6" x14ac:dyDescent="0.4">
      <c r="A910" s="6">
        <f t="shared" si="29"/>
        <v>909</v>
      </c>
      <c r="B910" s="6" t="str">
        <f t="shared" si="28"/>
        <v>Policy909</v>
      </c>
      <c r="C910" s="7" t="s">
        <v>11</v>
      </c>
      <c r="D910" s="6">
        <v>2024</v>
      </c>
      <c r="E910" s="6">
        <v>2026</v>
      </c>
      <c r="F910" s="8">
        <v>10073</v>
      </c>
    </row>
    <row r="911" spans="1:6" x14ac:dyDescent="0.4">
      <c r="A911" s="6">
        <f t="shared" si="29"/>
        <v>910</v>
      </c>
      <c r="B911" s="6" t="str">
        <f t="shared" si="28"/>
        <v>Policy910</v>
      </c>
      <c r="C911" s="7" t="s">
        <v>12</v>
      </c>
      <c r="D911" s="6">
        <v>2023</v>
      </c>
      <c r="E911" s="6">
        <v>2024</v>
      </c>
      <c r="F911" s="8">
        <v>4845060</v>
      </c>
    </row>
    <row r="912" spans="1:6" x14ac:dyDescent="0.4">
      <c r="A912" s="6">
        <f t="shared" si="29"/>
        <v>911</v>
      </c>
      <c r="B912" s="6" t="str">
        <f t="shared" si="28"/>
        <v>Policy911</v>
      </c>
      <c r="C912" s="7" t="s">
        <v>11</v>
      </c>
      <c r="D912" s="6">
        <v>2021</v>
      </c>
      <c r="E912" s="6">
        <v>2024</v>
      </c>
      <c r="F912" s="8">
        <v>36687</v>
      </c>
    </row>
    <row r="913" spans="1:6" x14ac:dyDescent="0.4">
      <c r="A913" s="6">
        <f t="shared" si="29"/>
        <v>912</v>
      </c>
      <c r="B913" s="6" t="str">
        <f t="shared" si="28"/>
        <v>Policy912</v>
      </c>
      <c r="C913" s="7" t="s">
        <v>11</v>
      </c>
      <c r="D913" s="6">
        <v>2022</v>
      </c>
      <c r="E913" s="6">
        <v>2024</v>
      </c>
      <c r="F913" s="8">
        <v>23415</v>
      </c>
    </row>
    <row r="914" spans="1:6" x14ac:dyDescent="0.4">
      <c r="A914" s="6">
        <f t="shared" si="29"/>
        <v>913</v>
      </c>
      <c r="B914" s="6" t="str">
        <f t="shared" si="28"/>
        <v>Policy913</v>
      </c>
      <c r="C914" s="7" t="s">
        <v>11</v>
      </c>
      <c r="D914" s="6">
        <v>2022</v>
      </c>
      <c r="E914" s="6">
        <v>2025</v>
      </c>
      <c r="F914" s="8">
        <v>34175</v>
      </c>
    </row>
    <row r="915" spans="1:6" x14ac:dyDescent="0.4">
      <c r="A915" s="6">
        <f t="shared" si="29"/>
        <v>914</v>
      </c>
      <c r="B915" s="6" t="str">
        <f t="shared" si="28"/>
        <v>Policy914</v>
      </c>
      <c r="C915" s="7" t="s">
        <v>11</v>
      </c>
      <c r="D915" s="6">
        <v>2022</v>
      </c>
      <c r="E915" s="6">
        <v>2025</v>
      </c>
      <c r="F915" s="8">
        <v>35279</v>
      </c>
    </row>
    <row r="916" spans="1:6" x14ac:dyDescent="0.4">
      <c r="A916" s="6">
        <f t="shared" si="29"/>
        <v>915</v>
      </c>
      <c r="B916" s="6" t="str">
        <f t="shared" si="28"/>
        <v>Policy915</v>
      </c>
      <c r="C916" s="7" t="s">
        <v>12</v>
      </c>
      <c r="D916" s="6">
        <v>2024</v>
      </c>
      <c r="E916" s="6">
        <v>2026</v>
      </c>
      <c r="F916" s="8">
        <v>2711971</v>
      </c>
    </row>
    <row r="917" spans="1:6" x14ac:dyDescent="0.4">
      <c r="A917" s="6">
        <f t="shared" si="29"/>
        <v>916</v>
      </c>
      <c r="B917" s="6" t="str">
        <f t="shared" si="28"/>
        <v>Policy916</v>
      </c>
      <c r="C917" s="7" t="s">
        <v>11</v>
      </c>
      <c r="D917" s="6">
        <v>2025</v>
      </c>
      <c r="E917" s="6">
        <v>2026</v>
      </c>
      <c r="F917" s="8">
        <v>8771</v>
      </c>
    </row>
    <row r="918" spans="1:6" x14ac:dyDescent="0.4">
      <c r="A918" s="6">
        <f t="shared" si="29"/>
        <v>917</v>
      </c>
      <c r="B918" s="6" t="str">
        <f t="shared" si="28"/>
        <v>Policy917</v>
      </c>
      <c r="C918" s="7" t="s">
        <v>12</v>
      </c>
      <c r="D918" s="6">
        <v>2024</v>
      </c>
      <c r="E918" s="6">
        <v>2026</v>
      </c>
      <c r="F918" s="8">
        <v>3140138</v>
      </c>
    </row>
    <row r="919" spans="1:6" x14ac:dyDescent="0.4">
      <c r="A919" s="6">
        <f t="shared" si="29"/>
        <v>918</v>
      </c>
      <c r="B919" s="6" t="str">
        <f t="shared" si="28"/>
        <v>Policy918</v>
      </c>
      <c r="C919" s="7" t="s">
        <v>11</v>
      </c>
      <c r="D919" s="6">
        <v>2025</v>
      </c>
      <c r="E919" s="6">
        <v>2026</v>
      </c>
      <c r="F919" s="8">
        <v>46080</v>
      </c>
    </row>
    <row r="920" spans="1:6" x14ac:dyDescent="0.4">
      <c r="A920" s="6">
        <f t="shared" si="29"/>
        <v>919</v>
      </c>
      <c r="B920" s="6" t="str">
        <f t="shared" si="28"/>
        <v>Policy919</v>
      </c>
      <c r="C920" s="7" t="s">
        <v>11</v>
      </c>
      <c r="D920" s="6">
        <v>2021</v>
      </c>
      <c r="E920" s="6">
        <v>2024</v>
      </c>
      <c r="F920" s="8">
        <v>3403</v>
      </c>
    </row>
    <row r="921" spans="1:6" x14ac:dyDescent="0.4">
      <c r="A921" s="6">
        <f t="shared" si="29"/>
        <v>920</v>
      </c>
      <c r="B921" s="6" t="str">
        <f t="shared" si="28"/>
        <v>Policy920</v>
      </c>
      <c r="C921" s="7" t="s">
        <v>12</v>
      </c>
      <c r="D921" s="6">
        <v>2022</v>
      </c>
      <c r="E921" s="6">
        <v>2026</v>
      </c>
      <c r="F921" s="8">
        <v>1193236</v>
      </c>
    </row>
    <row r="922" spans="1:6" x14ac:dyDescent="0.4">
      <c r="A922" s="6">
        <f t="shared" si="29"/>
        <v>921</v>
      </c>
      <c r="B922" s="6" t="str">
        <f t="shared" si="28"/>
        <v>Policy921</v>
      </c>
      <c r="C922" s="7" t="s">
        <v>11</v>
      </c>
      <c r="D922" s="6">
        <v>2023</v>
      </c>
      <c r="E922" s="6">
        <v>2025</v>
      </c>
      <c r="F922" s="8">
        <v>2158</v>
      </c>
    </row>
    <row r="923" spans="1:6" x14ac:dyDescent="0.4">
      <c r="A923" s="6">
        <f t="shared" si="29"/>
        <v>922</v>
      </c>
      <c r="B923" s="6" t="str">
        <f t="shared" si="28"/>
        <v>Policy922</v>
      </c>
      <c r="C923" s="7" t="s">
        <v>12</v>
      </c>
      <c r="D923" s="6">
        <v>2025</v>
      </c>
      <c r="E923" s="6">
        <v>2026</v>
      </c>
      <c r="F923" s="8">
        <v>2703686</v>
      </c>
    </row>
    <row r="924" spans="1:6" x14ac:dyDescent="0.4">
      <c r="A924" s="6">
        <f t="shared" si="29"/>
        <v>923</v>
      </c>
      <c r="B924" s="6" t="str">
        <f t="shared" si="28"/>
        <v>Policy923</v>
      </c>
      <c r="C924" s="7" t="s">
        <v>11</v>
      </c>
      <c r="D924" s="6">
        <v>2023</v>
      </c>
      <c r="E924" s="6">
        <v>2024</v>
      </c>
      <c r="F924" s="8">
        <v>32447</v>
      </c>
    </row>
    <row r="925" spans="1:6" x14ac:dyDescent="0.4">
      <c r="A925" s="6">
        <f t="shared" si="29"/>
        <v>924</v>
      </c>
      <c r="B925" s="6" t="str">
        <f t="shared" si="28"/>
        <v>Policy924</v>
      </c>
      <c r="C925" s="7" t="s">
        <v>11</v>
      </c>
      <c r="D925" s="6">
        <v>2025</v>
      </c>
      <c r="E925" s="6">
        <v>2026</v>
      </c>
      <c r="F925" s="8">
        <v>47979</v>
      </c>
    </row>
    <row r="926" spans="1:6" x14ac:dyDescent="0.4">
      <c r="A926" s="6">
        <f t="shared" si="29"/>
        <v>925</v>
      </c>
      <c r="B926" s="6" t="str">
        <f t="shared" si="28"/>
        <v>Policy925</v>
      </c>
      <c r="C926" s="7" t="s">
        <v>11</v>
      </c>
      <c r="D926" s="6">
        <v>2022</v>
      </c>
      <c r="E926" s="6">
        <v>2025</v>
      </c>
      <c r="F926" s="8">
        <v>45522</v>
      </c>
    </row>
    <row r="927" spans="1:6" x14ac:dyDescent="0.4">
      <c r="A927" s="6">
        <f t="shared" si="29"/>
        <v>926</v>
      </c>
      <c r="B927" s="6" t="str">
        <f t="shared" si="28"/>
        <v>Policy926</v>
      </c>
      <c r="C927" s="7" t="s">
        <v>11</v>
      </c>
      <c r="D927" s="6">
        <v>2023</v>
      </c>
      <c r="E927" s="6">
        <v>2026</v>
      </c>
      <c r="F927" s="8">
        <v>17352</v>
      </c>
    </row>
    <row r="928" spans="1:6" x14ac:dyDescent="0.4">
      <c r="A928" s="6">
        <f t="shared" si="29"/>
        <v>927</v>
      </c>
      <c r="B928" s="6" t="str">
        <f t="shared" si="28"/>
        <v>Policy927</v>
      </c>
      <c r="C928" s="7" t="s">
        <v>12</v>
      </c>
      <c r="D928" s="6">
        <v>2021</v>
      </c>
      <c r="E928" s="6">
        <v>2026</v>
      </c>
      <c r="F928" s="8">
        <v>3508237</v>
      </c>
    </row>
    <row r="929" spans="1:6" x14ac:dyDescent="0.4">
      <c r="A929" s="6">
        <f t="shared" si="29"/>
        <v>928</v>
      </c>
      <c r="B929" s="6" t="str">
        <f t="shared" si="28"/>
        <v>Policy928</v>
      </c>
      <c r="C929" s="7" t="s">
        <v>11</v>
      </c>
      <c r="D929" s="6">
        <v>2022</v>
      </c>
      <c r="E929" s="6">
        <v>2025</v>
      </c>
      <c r="F929" s="8">
        <v>39534</v>
      </c>
    </row>
    <row r="930" spans="1:6" x14ac:dyDescent="0.4">
      <c r="A930" s="6">
        <f t="shared" si="29"/>
        <v>929</v>
      </c>
      <c r="B930" s="6" t="str">
        <f t="shared" si="28"/>
        <v>Policy929</v>
      </c>
      <c r="C930" s="7" t="s">
        <v>12</v>
      </c>
      <c r="D930" s="6">
        <v>2025</v>
      </c>
      <c r="E930" s="6">
        <v>2026</v>
      </c>
      <c r="F930" s="8">
        <v>4994697</v>
      </c>
    </row>
    <row r="931" spans="1:6" x14ac:dyDescent="0.4">
      <c r="A931" s="6">
        <f t="shared" si="29"/>
        <v>930</v>
      </c>
      <c r="B931" s="6" t="str">
        <f t="shared" si="28"/>
        <v>Policy930</v>
      </c>
      <c r="C931" s="7" t="s">
        <v>11</v>
      </c>
      <c r="D931" s="6">
        <v>2023</v>
      </c>
      <c r="E931" s="6">
        <v>2026</v>
      </c>
      <c r="F931" s="8">
        <v>32565</v>
      </c>
    </row>
    <row r="932" spans="1:6" x14ac:dyDescent="0.4">
      <c r="A932" s="6">
        <f t="shared" si="29"/>
        <v>931</v>
      </c>
      <c r="B932" s="6" t="str">
        <f t="shared" si="28"/>
        <v>Policy931</v>
      </c>
      <c r="C932" s="7" t="s">
        <v>11</v>
      </c>
      <c r="D932" s="6">
        <v>2021</v>
      </c>
      <c r="E932" s="6">
        <v>2026</v>
      </c>
      <c r="F932" s="8">
        <v>17889</v>
      </c>
    </row>
    <row r="933" spans="1:6" x14ac:dyDescent="0.4">
      <c r="A933" s="6">
        <f t="shared" si="29"/>
        <v>932</v>
      </c>
      <c r="B933" s="6" t="str">
        <f t="shared" si="28"/>
        <v>Policy932</v>
      </c>
      <c r="C933" s="7" t="s">
        <v>12</v>
      </c>
      <c r="D933" s="6">
        <v>2025</v>
      </c>
      <c r="E933" s="6">
        <v>2026</v>
      </c>
      <c r="F933" s="8">
        <v>3495781</v>
      </c>
    </row>
    <row r="934" spans="1:6" x14ac:dyDescent="0.4">
      <c r="A934" s="6">
        <f t="shared" si="29"/>
        <v>933</v>
      </c>
      <c r="B934" s="6" t="str">
        <f t="shared" si="28"/>
        <v>Policy933</v>
      </c>
      <c r="C934" s="7" t="s">
        <v>12</v>
      </c>
      <c r="D934" s="6">
        <v>2023</v>
      </c>
      <c r="E934" s="6">
        <v>2025</v>
      </c>
      <c r="F934" s="8">
        <v>307770</v>
      </c>
    </row>
    <row r="935" spans="1:6" x14ac:dyDescent="0.4">
      <c r="A935" s="6">
        <f t="shared" si="29"/>
        <v>934</v>
      </c>
      <c r="B935" s="6" t="str">
        <f t="shared" si="28"/>
        <v>Policy934</v>
      </c>
      <c r="C935" s="7" t="s">
        <v>11</v>
      </c>
      <c r="D935" s="6">
        <v>2021</v>
      </c>
      <c r="E935" s="6">
        <v>2026</v>
      </c>
      <c r="F935" s="8">
        <v>25159</v>
      </c>
    </row>
    <row r="936" spans="1:6" x14ac:dyDescent="0.4">
      <c r="A936" s="6">
        <f t="shared" si="29"/>
        <v>935</v>
      </c>
      <c r="B936" s="6" t="str">
        <f t="shared" si="28"/>
        <v>Policy935</v>
      </c>
      <c r="C936" s="7" t="s">
        <v>11</v>
      </c>
      <c r="D936" s="6">
        <v>2025</v>
      </c>
      <c r="E936" s="6">
        <v>2026</v>
      </c>
      <c r="F936" s="8">
        <v>47800</v>
      </c>
    </row>
    <row r="937" spans="1:6" x14ac:dyDescent="0.4">
      <c r="A937" s="6">
        <f t="shared" si="29"/>
        <v>936</v>
      </c>
      <c r="B937" s="6" t="str">
        <f t="shared" si="28"/>
        <v>Policy936</v>
      </c>
      <c r="C937" s="7" t="s">
        <v>12</v>
      </c>
      <c r="D937" s="6">
        <v>2022</v>
      </c>
      <c r="E937" s="6">
        <v>2025</v>
      </c>
      <c r="F937" s="8">
        <v>195855</v>
      </c>
    </row>
    <row r="938" spans="1:6" x14ac:dyDescent="0.4">
      <c r="A938" s="6">
        <f t="shared" si="29"/>
        <v>937</v>
      </c>
      <c r="B938" s="6" t="str">
        <f t="shared" si="28"/>
        <v>Policy937</v>
      </c>
      <c r="C938" s="7" t="s">
        <v>11</v>
      </c>
      <c r="D938" s="6">
        <v>2024</v>
      </c>
      <c r="E938" s="6">
        <v>2025</v>
      </c>
      <c r="F938" s="8">
        <v>22699</v>
      </c>
    </row>
    <row r="939" spans="1:6" x14ac:dyDescent="0.4">
      <c r="A939" s="6">
        <f t="shared" si="29"/>
        <v>938</v>
      </c>
      <c r="B939" s="6" t="str">
        <f t="shared" si="28"/>
        <v>Policy938</v>
      </c>
      <c r="C939" s="7" t="s">
        <v>12</v>
      </c>
      <c r="D939" s="6">
        <v>2021</v>
      </c>
      <c r="E939" s="6">
        <v>2025</v>
      </c>
      <c r="F939" s="8">
        <v>2468977</v>
      </c>
    </row>
    <row r="940" spans="1:6" x14ac:dyDescent="0.4">
      <c r="A940" s="6">
        <f t="shared" si="29"/>
        <v>939</v>
      </c>
      <c r="B940" s="6" t="str">
        <f t="shared" si="28"/>
        <v>Policy939</v>
      </c>
      <c r="C940" s="7" t="s">
        <v>12</v>
      </c>
      <c r="D940" s="6">
        <v>2022</v>
      </c>
      <c r="E940" s="6">
        <v>2026</v>
      </c>
      <c r="F940" s="8">
        <v>3517896</v>
      </c>
    </row>
    <row r="941" spans="1:6" x14ac:dyDescent="0.4">
      <c r="A941" s="6">
        <f t="shared" si="29"/>
        <v>940</v>
      </c>
      <c r="B941" s="6" t="str">
        <f t="shared" si="28"/>
        <v>Policy940</v>
      </c>
      <c r="C941" s="7" t="s">
        <v>11</v>
      </c>
      <c r="D941" s="6">
        <v>2021</v>
      </c>
      <c r="E941" s="6">
        <v>2024</v>
      </c>
      <c r="F941" s="8">
        <v>43229</v>
      </c>
    </row>
    <row r="942" spans="1:6" x14ac:dyDescent="0.4">
      <c r="A942" s="6">
        <f t="shared" si="29"/>
        <v>941</v>
      </c>
      <c r="B942" s="6" t="str">
        <f t="shared" si="28"/>
        <v>Policy941</v>
      </c>
      <c r="C942" s="7" t="s">
        <v>11</v>
      </c>
      <c r="D942" s="6">
        <v>2021</v>
      </c>
      <c r="E942" s="6">
        <v>2022</v>
      </c>
      <c r="F942" s="8">
        <v>16761</v>
      </c>
    </row>
    <row r="943" spans="1:6" x14ac:dyDescent="0.4">
      <c r="A943" s="6">
        <f t="shared" si="29"/>
        <v>942</v>
      </c>
      <c r="B943" s="6" t="str">
        <f t="shared" si="28"/>
        <v>Policy942</v>
      </c>
      <c r="C943" s="7" t="s">
        <v>12</v>
      </c>
      <c r="D943" s="6">
        <v>2023</v>
      </c>
      <c r="E943" s="6">
        <v>2024</v>
      </c>
      <c r="F943" s="8">
        <v>3135945</v>
      </c>
    </row>
    <row r="944" spans="1:6" x14ac:dyDescent="0.4">
      <c r="A944" s="6">
        <f t="shared" si="29"/>
        <v>943</v>
      </c>
      <c r="B944" s="6" t="str">
        <f t="shared" si="28"/>
        <v>Policy943</v>
      </c>
      <c r="C944" s="7" t="s">
        <v>12</v>
      </c>
      <c r="D944" s="6">
        <v>2022</v>
      </c>
      <c r="E944" s="6">
        <v>2025</v>
      </c>
      <c r="F944" s="8">
        <v>2574122</v>
      </c>
    </row>
    <row r="945" spans="1:6" x14ac:dyDescent="0.4">
      <c r="A945" s="6">
        <f t="shared" si="29"/>
        <v>944</v>
      </c>
      <c r="B945" s="6" t="str">
        <f t="shared" si="28"/>
        <v>Policy944</v>
      </c>
      <c r="C945" s="7" t="s">
        <v>11</v>
      </c>
      <c r="D945" s="6">
        <v>2023</v>
      </c>
      <c r="E945" s="6">
        <v>2026</v>
      </c>
      <c r="F945" s="8">
        <v>31719</v>
      </c>
    </row>
    <row r="946" spans="1:6" x14ac:dyDescent="0.4">
      <c r="A946" s="6">
        <f t="shared" si="29"/>
        <v>945</v>
      </c>
      <c r="B946" s="6" t="str">
        <f t="shared" si="28"/>
        <v>Policy945</v>
      </c>
      <c r="C946" s="7" t="s">
        <v>12</v>
      </c>
      <c r="D946" s="6">
        <v>2023</v>
      </c>
      <c r="E946" s="6">
        <v>2025</v>
      </c>
      <c r="F946" s="8">
        <v>1251736</v>
      </c>
    </row>
    <row r="947" spans="1:6" x14ac:dyDescent="0.4">
      <c r="A947" s="6">
        <f t="shared" si="29"/>
        <v>946</v>
      </c>
      <c r="B947" s="6" t="str">
        <f t="shared" si="28"/>
        <v>Policy946</v>
      </c>
      <c r="C947" s="7" t="s">
        <v>12</v>
      </c>
      <c r="D947" s="6">
        <v>2024</v>
      </c>
      <c r="E947" s="6">
        <v>2025</v>
      </c>
      <c r="F947" s="8">
        <v>3195111</v>
      </c>
    </row>
    <row r="948" spans="1:6" x14ac:dyDescent="0.4">
      <c r="A948" s="6">
        <f t="shared" si="29"/>
        <v>947</v>
      </c>
      <c r="B948" s="6" t="str">
        <f t="shared" si="28"/>
        <v>Policy947</v>
      </c>
      <c r="C948" s="7" t="s">
        <v>11</v>
      </c>
      <c r="D948" s="6">
        <v>2025</v>
      </c>
      <c r="E948" s="6">
        <v>2026</v>
      </c>
      <c r="F948" s="8">
        <v>49613</v>
      </c>
    </row>
    <row r="949" spans="1:6" x14ac:dyDescent="0.4">
      <c r="A949" s="6">
        <f t="shared" si="29"/>
        <v>948</v>
      </c>
      <c r="B949" s="6" t="str">
        <f t="shared" si="28"/>
        <v>Policy948</v>
      </c>
      <c r="C949" s="7" t="s">
        <v>11</v>
      </c>
      <c r="D949" s="6">
        <v>2025</v>
      </c>
      <c r="E949" s="6">
        <v>2026</v>
      </c>
      <c r="F949" s="8">
        <v>8684</v>
      </c>
    </row>
    <row r="950" spans="1:6" x14ac:dyDescent="0.4">
      <c r="A950" s="6">
        <f t="shared" si="29"/>
        <v>949</v>
      </c>
      <c r="B950" s="6" t="str">
        <f t="shared" si="28"/>
        <v>Policy949</v>
      </c>
      <c r="C950" s="7" t="s">
        <v>12</v>
      </c>
      <c r="D950" s="6">
        <v>2024</v>
      </c>
      <c r="E950" s="6">
        <v>2025</v>
      </c>
      <c r="F950" s="8">
        <v>1221876</v>
      </c>
    </row>
    <row r="951" spans="1:6" x14ac:dyDescent="0.4">
      <c r="A951" s="6">
        <f t="shared" si="29"/>
        <v>950</v>
      </c>
      <c r="B951" s="6" t="str">
        <f t="shared" si="28"/>
        <v>Policy950</v>
      </c>
      <c r="C951" s="7" t="s">
        <v>12</v>
      </c>
      <c r="D951" s="6">
        <v>2021</v>
      </c>
      <c r="E951" s="6">
        <v>2024</v>
      </c>
      <c r="F951" s="8">
        <v>4737906</v>
      </c>
    </row>
    <row r="952" spans="1:6" x14ac:dyDescent="0.4">
      <c r="A952" s="6">
        <f t="shared" si="29"/>
        <v>951</v>
      </c>
      <c r="B952" s="6" t="str">
        <f t="shared" si="28"/>
        <v>Policy951</v>
      </c>
      <c r="C952" s="7" t="s">
        <v>11</v>
      </c>
      <c r="D952" s="6">
        <v>2022</v>
      </c>
      <c r="E952" s="6">
        <v>2024</v>
      </c>
      <c r="F952" s="8">
        <v>42781</v>
      </c>
    </row>
    <row r="953" spans="1:6" x14ac:dyDescent="0.4">
      <c r="A953" s="6">
        <f t="shared" si="29"/>
        <v>952</v>
      </c>
      <c r="B953" s="6" t="str">
        <f t="shared" si="28"/>
        <v>Policy952</v>
      </c>
      <c r="C953" s="7" t="s">
        <v>11</v>
      </c>
      <c r="D953" s="6">
        <v>2024</v>
      </c>
      <c r="E953" s="6">
        <v>2026</v>
      </c>
      <c r="F953" s="8">
        <v>4556</v>
      </c>
    </row>
    <row r="954" spans="1:6" x14ac:dyDescent="0.4">
      <c r="A954" s="6">
        <f t="shared" si="29"/>
        <v>953</v>
      </c>
      <c r="B954" s="6" t="str">
        <f t="shared" si="28"/>
        <v>Policy953</v>
      </c>
      <c r="C954" s="7" t="s">
        <v>12</v>
      </c>
      <c r="D954" s="6">
        <v>2022</v>
      </c>
      <c r="E954" s="6">
        <v>2024</v>
      </c>
      <c r="F954" s="8">
        <v>1945870</v>
      </c>
    </row>
    <row r="955" spans="1:6" x14ac:dyDescent="0.4">
      <c r="A955" s="6">
        <f t="shared" si="29"/>
        <v>954</v>
      </c>
      <c r="B955" s="6" t="str">
        <f t="shared" si="28"/>
        <v>Policy954</v>
      </c>
      <c r="C955" s="7" t="s">
        <v>11</v>
      </c>
      <c r="D955" s="6">
        <v>2025</v>
      </c>
      <c r="E955" s="6">
        <v>2026</v>
      </c>
      <c r="F955" s="8">
        <v>38203</v>
      </c>
    </row>
    <row r="956" spans="1:6" x14ac:dyDescent="0.4">
      <c r="A956" s="6">
        <f t="shared" si="29"/>
        <v>955</v>
      </c>
      <c r="B956" s="6" t="str">
        <f t="shared" si="28"/>
        <v>Policy955</v>
      </c>
      <c r="C956" s="7" t="s">
        <v>12</v>
      </c>
      <c r="D956" s="6">
        <v>2025</v>
      </c>
      <c r="E956" s="6">
        <v>2026</v>
      </c>
      <c r="F956" s="8">
        <v>4831977</v>
      </c>
    </row>
    <row r="957" spans="1:6" x14ac:dyDescent="0.4">
      <c r="A957" s="6">
        <f t="shared" si="29"/>
        <v>956</v>
      </c>
      <c r="B957" s="6" t="str">
        <f t="shared" si="28"/>
        <v>Policy956</v>
      </c>
      <c r="C957" s="7" t="s">
        <v>12</v>
      </c>
      <c r="D957" s="6">
        <v>2023</v>
      </c>
      <c r="E957" s="6">
        <v>2024</v>
      </c>
      <c r="F957" s="8">
        <v>657997</v>
      </c>
    </row>
    <row r="958" spans="1:6" x14ac:dyDescent="0.4">
      <c r="A958" s="6">
        <f t="shared" si="29"/>
        <v>957</v>
      </c>
      <c r="B958" s="6" t="str">
        <f t="shared" si="28"/>
        <v>Policy957</v>
      </c>
      <c r="C958" s="7" t="s">
        <v>12</v>
      </c>
      <c r="D958" s="6">
        <v>2023</v>
      </c>
      <c r="E958" s="6">
        <v>2026</v>
      </c>
      <c r="F958" s="8">
        <v>1490959</v>
      </c>
    </row>
    <row r="959" spans="1:6" x14ac:dyDescent="0.4">
      <c r="A959" s="6">
        <f t="shared" si="29"/>
        <v>958</v>
      </c>
      <c r="B959" s="6" t="str">
        <f t="shared" si="28"/>
        <v>Policy958</v>
      </c>
      <c r="C959" s="7" t="s">
        <v>11</v>
      </c>
      <c r="D959" s="6">
        <v>2025</v>
      </c>
      <c r="E959" s="6">
        <v>2026</v>
      </c>
      <c r="F959" s="8">
        <v>12170</v>
      </c>
    </row>
    <row r="960" spans="1:6" x14ac:dyDescent="0.4">
      <c r="A960" s="6">
        <f t="shared" si="29"/>
        <v>959</v>
      </c>
      <c r="B960" s="6" t="str">
        <f t="shared" si="28"/>
        <v>Policy959</v>
      </c>
      <c r="C960" s="7" t="s">
        <v>12</v>
      </c>
      <c r="D960" s="6">
        <v>2023</v>
      </c>
      <c r="E960" s="6">
        <v>2025</v>
      </c>
      <c r="F960" s="8">
        <v>871941</v>
      </c>
    </row>
    <row r="961" spans="1:6" x14ac:dyDescent="0.4">
      <c r="A961" s="6">
        <f t="shared" si="29"/>
        <v>960</v>
      </c>
      <c r="B961" s="6" t="str">
        <f t="shared" si="28"/>
        <v>Policy960</v>
      </c>
      <c r="C961" s="7" t="s">
        <v>12</v>
      </c>
      <c r="D961" s="6">
        <v>2023</v>
      </c>
      <c r="E961" s="6">
        <v>2025</v>
      </c>
      <c r="F961" s="8">
        <v>3404419</v>
      </c>
    </row>
    <row r="962" spans="1:6" x14ac:dyDescent="0.4">
      <c r="A962" s="6">
        <f t="shared" si="29"/>
        <v>961</v>
      </c>
      <c r="B962" s="6" t="str">
        <f t="shared" si="28"/>
        <v>Policy961</v>
      </c>
      <c r="C962" s="7" t="s">
        <v>12</v>
      </c>
      <c r="D962" s="6">
        <v>2021</v>
      </c>
      <c r="E962" s="6">
        <v>2023</v>
      </c>
      <c r="F962" s="8">
        <v>1427282</v>
      </c>
    </row>
    <row r="963" spans="1:6" x14ac:dyDescent="0.4">
      <c r="A963" s="6">
        <f t="shared" si="29"/>
        <v>962</v>
      </c>
      <c r="B963" s="6" t="str">
        <f t="shared" ref="B963:B1001" si="30">"Policy"&amp;A963</f>
        <v>Policy962</v>
      </c>
      <c r="C963" s="7" t="s">
        <v>12</v>
      </c>
      <c r="D963" s="6">
        <v>2022</v>
      </c>
      <c r="E963" s="6">
        <v>2024</v>
      </c>
      <c r="F963" s="8">
        <v>2112198</v>
      </c>
    </row>
    <row r="964" spans="1:6" x14ac:dyDescent="0.4">
      <c r="A964" s="6">
        <f t="shared" ref="A964:A1001" si="31">A963+1</f>
        <v>963</v>
      </c>
      <c r="B964" s="6" t="str">
        <f t="shared" si="30"/>
        <v>Policy963</v>
      </c>
      <c r="C964" s="7" t="s">
        <v>12</v>
      </c>
      <c r="D964" s="6">
        <v>2025</v>
      </c>
      <c r="E964" s="6">
        <v>2026</v>
      </c>
      <c r="F964" s="8">
        <v>1410580</v>
      </c>
    </row>
    <row r="965" spans="1:6" x14ac:dyDescent="0.4">
      <c r="A965" s="6">
        <f t="shared" si="31"/>
        <v>964</v>
      </c>
      <c r="B965" s="6" t="str">
        <f t="shared" si="30"/>
        <v>Policy964</v>
      </c>
      <c r="C965" s="7" t="s">
        <v>12</v>
      </c>
      <c r="D965" s="6">
        <v>2023</v>
      </c>
      <c r="E965" s="6">
        <v>2025</v>
      </c>
      <c r="F965" s="8">
        <v>877311</v>
      </c>
    </row>
    <row r="966" spans="1:6" x14ac:dyDescent="0.4">
      <c r="A966" s="6">
        <f t="shared" si="31"/>
        <v>965</v>
      </c>
      <c r="B966" s="6" t="str">
        <f t="shared" si="30"/>
        <v>Policy965</v>
      </c>
      <c r="C966" s="7" t="s">
        <v>12</v>
      </c>
      <c r="D966" s="6">
        <v>2023</v>
      </c>
      <c r="E966" s="6">
        <v>2024</v>
      </c>
      <c r="F966" s="8">
        <v>1474493</v>
      </c>
    </row>
    <row r="967" spans="1:6" x14ac:dyDescent="0.4">
      <c r="A967" s="6">
        <f t="shared" si="31"/>
        <v>966</v>
      </c>
      <c r="B967" s="6" t="str">
        <f t="shared" si="30"/>
        <v>Policy966</v>
      </c>
      <c r="C967" s="7" t="s">
        <v>11</v>
      </c>
      <c r="D967" s="6">
        <v>2025</v>
      </c>
      <c r="E967" s="6">
        <v>2026</v>
      </c>
      <c r="F967" s="8">
        <v>41476</v>
      </c>
    </row>
    <row r="968" spans="1:6" x14ac:dyDescent="0.4">
      <c r="A968" s="6">
        <f t="shared" si="31"/>
        <v>967</v>
      </c>
      <c r="B968" s="6" t="str">
        <f t="shared" si="30"/>
        <v>Policy967</v>
      </c>
      <c r="C968" s="7" t="s">
        <v>12</v>
      </c>
      <c r="D968" s="6">
        <v>2024</v>
      </c>
      <c r="E968" s="6">
        <v>2025</v>
      </c>
      <c r="F968" s="8">
        <v>2608079</v>
      </c>
    </row>
    <row r="969" spans="1:6" x14ac:dyDescent="0.4">
      <c r="A969" s="6">
        <f t="shared" si="31"/>
        <v>968</v>
      </c>
      <c r="B969" s="6" t="str">
        <f t="shared" si="30"/>
        <v>Policy968</v>
      </c>
      <c r="C969" s="7" t="s">
        <v>11</v>
      </c>
      <c r="D969" s="6">
        <v>2025</v>
      </c>
      <c r="E969" s="6">
        <v>2026</v>
      </c>
      <c r="F969" s="8">
        <v>6615</v>
      </c>
    </row>
    <row r="970" spans="1:6" x14ac:dyDescent="0.4">
      <c r="A970" s="6">
        <f t="shared" si="31"/>
        <v>969</v>
      </c>
      <c r="B970" s="6" t="str">
        <f t="shared" si="30"/>
        <v>Policy969</v>
      </c>
      <c r="C970" s="7" t="s">
        <v>12</v>
      </c>
      <c r="D970" s="6">
        <v>2025</v>
      </c>
      <c r="E970" s="6">
        <v>2026</v>
      </c>
      <c r="F970" s="8">
        <v>3757842</v>
      </c>
    </row>
    <row r="971" spans="1:6" x14ac:dyDescent="0.4">
      <c r="A971" s="6">
        <f t="shared" si="31"/>
        <v>970</v>
      </c>
      <c r="B971" s="6" t="str">
        <f t="shared" si="30"/>
        <v>Policy970</v>
      </c>
      <c r="C971" s="7" t="s">
        <v>11</v>
      </c>
      <c r="D971" s="6">
        <v>2023</v>
      </c>
      <c r="E971" s="6">
        <v>2025</v>
      </c>
      <c r="F971" s="8">
        <v>37539</v>
      </c>
    </row>
    <row r="972" spans="1:6" x14ac:dyDescent="0.4">
      <c r="A972" s="6">
        <f t="shared" si="31"/>
        <v>971</v>
      </c>
      <c r="B972" s="6" t="str">
        <f t="shared" si="30"/>
        <v>Policy971</v>
      </c>
      <c r="C972" s="7" t="s">
        <v>11</v>
      </c>
      <c r="D972" s="6">
        <v>2024</v>
      </c>
      <c r="E972" s="6">
        <v>2026</v>
      </c>
      <c r="F972" s="8">
        <v>6680</v>
      </c>
    </row>
    <row r="973" spans="1:6" x14ac:dyDescent="0.4">
      <c r="A973" s="6">
        <f t="shared" si="31"/>
        <v>972</v>
      </c>
      <c r="B973" s="6" t="str">
        <f t="shared" si="30"/>
        <v>Policy972</v>
      </c>
      <c r="C973" s="7" t="s">
        <v>12</v>
      </c>
      <c r="D973" s="6">
        <v>2023</v>
      </c>
      <c r="E973" s="6">
        <v>2025</v>
      </c>
      <c r="F973" s="8">
        <v>3143534</v>
      </c>
    </row>
    <row r="974" spans="1:6" x14ac:dyDescent="0.4">
      <c r="A974" s="6">
        <f t="shared" si="31"/>
        <v>973</v>
      </c>
      <c r="B974" s="6" t="str">
        <f t="shared" si="30"/>
        <v>Policy973</v>
      </c>
      <c r="C974" s="7" t="s">
        <v>11</v>
      </c>
      <c r="D974" s="6">
        <v>2023</v>
      </c>
      <c r="E974" s="6">
        <v>2024</v>
      </c>
      <c r="F974" s="8">
        <v>40445</v>
      </c>
    </row>
    <row r="975" spans="1:6" x14ac:dyDescent="0.4">
      <c r="A975" s="6">
        <f t="shared" si="31"/>
        <v>974</v>
      </c>
      <c r="B975" s="6" t="str">
        <f t="shared" si="30"/>
        <v>Policy974</v>
      </c>
      <c r="C975" s="7" t="s">
        <v>11</v>
      </c>
      <c r="D975" s="6">
        <v>2024</v>
      </c>
      <c r="E975" s="6">
        <v>2025</v>
      </c>
      <c r="F975" s="8">
        <v>41563</v>
      </c>
    </row>
    <row r="976" spans="1:6" x14ac:dyDescent="0.4">
      <c r="A976" s="6">
        <f t="shared" si="31"/>
        <v>975</v>
      </c>
      <c r="B976" s="6" t="str">
        <f t="shared" si="30"/>
        <v>Policy975</v>
      </c>
      <c r="C976" s="7" t="s">
        <v>11</v>
      </c>
      <c r="D976" s="6">
        <v>2024</v>
      </c>
      <c r="E976" s="6">
        <v>2025</v>
      </c>
      <c r="F976" s="8">
        <v>7347</v>
      </c>
    </row>
    <row r="977" spans="1:6" x14ac:dyDescent="0.4">
      <c r="A977" s="6">
        <f t="shared" si="31"/>
        <v>976</v>
      </c>
      <c r="B977" s="6" t="str">
        <f t="shared" si="30"/>
        <v>Policy976</v>
      </c>
      <c r="C977" s="7" t="s">
        <v>12</v>
      </c>
      <c r="D977" s="6">
        <v>2024</v>
      </c>
      <c r="E977" s="6">
        <v>2025</v>
      </c>
      <c r="F977" s="8">
        <v>44630</v>
      </c>
    </row>
    <row r="978" spans="1:6" x14ac:dyDescent="0.4">
      <c r="A978" s="6">
        <f t="shared" si="31"/>
        <v>977</v>
      </c>
      <c r="B978" s="6" t="str">
        <f t="shared" si="30"/>
        <v>Policy977</v>
      </c>
      <c r="C978" s="7" t="s">
        <v>12</v>
      </c>
      <c r="D978" s="6">
        <v>2022</v>
      </c>
      <c r="E978" s="6">
        <v>2024</v>
      </c>
      <c r="F978" s="8">
        <v>2990430</v>
      </c>
    </row>
    <row r="979" spans="1:6" x14ac:dyDescent="0.4">
      <c r="A979" s="6">
        <f t="shared" si="31"/>
        <v>978</v>
      </c>
      <c r="B979" s="6" t="str">
        <f t="shared" si="30"/>
        <v>Policy978</v>
      </c>
      <c r="C979" s="7" t="s">
        <v>12</v>
      </c>
      <c r="D979" s="6">
        <v>2024</v>
      </c>
      <c r="E979" s="6">
        <v>2025</v>
      </c>
      <c r="F979" s="8">
        <v>4525148</v>
      </c>
    </row>
    <row r="980" spans="1:6" x14ac:dyDescent="0.4">
      <c r="A980" s="6">
        <f t="shared" si="31"/>
        <v>979</v>
      </c>
      <c r="B980" s="6" t="str">
        <f t="shared" si="30"/>
        <v>Policy979</v>
      </c>
      <c r="C980" s="7" t="s">
        <v>11</v>
      </c>
      <c r="D980" s="6">
        <v>2022</v>
      </c>
      <c r="E980" s="6">
        <v>2023</v>
      </c>
      <c r="F980" s="8">
        <v>45391</v>
      </c>
    </row>
    <row r="981" spans="1:6" x14ac:dyDescent="0.4">
      <c r="A981" s="6">
        <f t="shared" si="31"/>
        <v>980</v>
      </c>
      <c r="B981" s="6" t="str">
        <f t="shared" si="30"/>
        <v>Policy980</v>
      </c>
      <c r="C981" s="7" t="s">
        <v>11</v>
      </c>
      <c r="D981" s="6">
        <v>2023</v>
      </c>
      <c r="E981" s="6">
        <v>2026</v>
      </c>
      <c r="F981" s="8">
        <v>43637</v>
      </c>
    </row>
    <row r="982" spans="1:6" x14ac:dyDescent="0.4">
      <c r="A982" s="6">
        <f t="shared" si="31"/>
        <v>981</v>
      </c>
      <c r="B982" s="6" t="str">
        <f t="shared" si="30"/>
        <v>Policy981</v>
      </c>
      <c r="C982" s="7" t="s">
        <v>11</v>
      </c>
      <c r="D982" s="6">
        <v>2023</v>
      </c>
      <c r="E982" s="6">
        <v>2025</v>
      </c>
      <c r="F982" s="8">
        <v>39275</v>
      </c>
    </row>
    <row r="983" spans="1:6" x14ac:dyDescent="0.4">
      <c r="A983" s="6">
        <f t="shared" si="31"/>
        <v>982</v>
      </c>
      <c r="B983" s="6" t="str">
        <f t="shared" si="30"/>
        <v>Policy982</v>
      </c>
      <c r="C983" s="7" t="s">
        <v>11</v>
      </c>
      <c r="D983" s="6">
        <v>2023</v>
      </c>
      <c r="E983" s="6">
        <v>2026</v>
      </c>
      <c r="F983" s="8">
        <v>45289</v>
      </c>
    </row>
    <row r="984" spans="1:6" x14ac:dyDescent="0.4">
      <c r="A984" s="6">
        <f t="shared" si="31"/>
        <v>983</v>
      </c>
      <c r="B984" s="6" t="str">
        <f t="shared" si="30"/>
        <v>Policy983</v>
      </c>
      <c r="C984" s="7" t="s">
        <v>12</v>
      </c>
      <c r="D984" s="6">
        <v>2023</v>
      </c>
      <c r="E984" s="6">
        <v>2024</v>
      </c>
      <c r="F984" s="8">
        <v>243540</v>
      </c>
    </row>
    <row r="985" spans="1:6" x14ac:dyDescent="0.4">
      <c r="A985" s="6">
        <f t="shared" si="31"/>
        <v>984</v>
      </c>
      <c r="B985" s="6" t="str">
        <f t="shared" si="30"/>
        <v>Policy984</v>
      </c>
      <c r="C985" s="7" t="s">
        <v>12</v>
      </c>
      <c r="D985" s="6">
        <v>2021</v>
      </c>
      <c r="E985" s="6">
        <v>2025</v>
      </c>
      <c r="F985" s="8">
        <v>4844515</v>
      </c>
    </row>
    <row r="986" spans="1:6" x14ac:dyDescent="0.4">
      <c r="A986" s="6">
        <f t="shared" si="31"/>
        <v>985</v>
      </c>
      <c r="B986" s="6" t="str">
        <f t="shared" si="30"/>
        <v>Policy985</v>
      </c>
      <c r="C986" s="7" t="s">
        <v>12</v>
      </c>
      <c r="D986" s="6">
        <v>2025</v>
      </c>
      <c r="E986" s="6">
        <v>2026</v>
      </c>
      <c r="F986" s="8">
        <v>2413733</v>
      </c>
    </row>
    <row r="987" spans="1:6" x14ac:dyDescent="0.4">
      <c r="A987" s="6">
        <f t="shared" si="31"/>
        <v>986</v>
      </c>
      <c r="B987" s="6" t="str">
        <f t="shared" si="30"/>
        <v>Policy986</v>
      </c>
      <c r="C987" s="7" t="s">
        <v>12</v>
      </c>
      <c r="D987" s="6">
        <v>2025</v>
      </c>
      <c r="E987" s="6">
        <v>2026</v>
      </c>
      <c r="F987" s="8">
        <v>4137054</v>
      </c>
    </row>
    <row r="988" spans="1:6" x14ac:dyDescent="0.4">
      <c r="A988" s="6">
        <f t="shared" si="31"/>
        <v>987</v>
      </c>
      <c r="B988" s="6" t="str">
        <f t="shared" si="30"/>
        <v>Policy987</v>
      </c>
      <c r="C988" s="7" t="s">
        <v>11</v>
      </c>
      <c r="D988" s="6">
        <v>2023</v>
      </c>
      <c r="E988" s="6">
        <v>2026</v>
      </c>
      <c r="F988" s="8">
        <v>38938</v>
      </c>
    </row>
    <row r="989" spans="1:6" x14ac:dyDescent="0.4">
      <c r="A989" s="6">
        <f t="shared" si="31"/>
        <v>988</v>
      </c>
      <c r="B989" s="6" t="str">
        <f t="shared" si="30"/>
        <v>Policy988</v>
      </c>
      <c r="C989" s="7" t="s">
        <v>12</v>
      </c>
      <c r="D989" s="6">
        <v>2022</v>
      </c>
      <c r="E989" s="6">
        <v>2024</v>
      </c>
      <c r="F989" s="8">
        <v>1890953</v>
      </c>
    </row>
    <row r="990" spans="1:6" x14ac:dyDescent="0.4">
      <c r="A990" s="6">
        <f t="shared" si="31"/>
        <v>989</v>
      </c>
      <c r="B990" s="6" t="str">
        <f t="shared" si="30"/>
        <v>Policy989</v>
      </c>
      <c r="C990" s="7" t="s">
        <v>12</v>
      </c>
      <c r="D990" s="6">
        <v>2022</v>
      </c>
      <c r="E990" s="6">
        <v>2026</v>
      </c>
      <c r="F990" s="8">
        <v>481802</v>
      </c>
    </row>
    <row r="991" spans="1:6" x14ac:dyDescent="0.4">
      <c r="A991" s="6">
        <f t="shared" si="31"/>
        <v>990</v>
      </c>
      <c r="B991" s="6" t="str">
        <f t="shared" si="30"/>
        <v>Policy990</v>
      </c>
      <c r="C991" s="7" t="s">
        <v>12</v>
      </c>
      <c r="D991" s="6">
        <v>2025</v>
      </c>
      <c r="E991" s="6">
        <v>2026</v>
      </c>
      <c r="F991" s="8">
        <v>4206862</v>
      </c>
    </row>
    <row r="992" spans="1:6" x14ac:dyDescent="0.4">
      <c r="A992" s="6">
        <f t="shared" si="31"/>
        <v>991</v>
      </c>
      <c r="B992" s="6" t="str">
        <f t="shared" si="30"/>
        <v>Policy991</v>
      </c>
      <c r="C992" s="7" t="s">
        <v>12</v>
      </c>
      <c r="D992" s="6">
        <v>2024</v>
      </c>
      <c r="E992" s="6">
        <v>2026</v>
      </c>
      <c r="F992" s="8">
        <v>87373</v>
      </c>
    </row>
    <row r="993" spans="1:6" x14ac:dyDescent="0.4">
      <c r="A993" s="6">
        <f t="shared" si="31"/>
        <v>992</v>
      </c>
      <c r="B993" s="6" t="str">
        <f t="shared" si="30"/>
        <v>Policy992</v>
      </c>
      <c r="C993" s="7" t="s">
        <v>12</v>
      </c>
      <c r="D993" s="6">
        <v>2024</v>
      </c>
      <c r="E993" s="6">
        <v>2025</v>
      </c>
      <c r="F993" s="8">
        <v>2612011</v>
      </c>
    </row>
    <row r="994" spans="1:6" x14ac:dyDescent="0.4">
      <c r="A994" s="6">
        <f t="shared" si="31"/>
        <v>993</v>
      </c>
      <c r="B994" s="6" t="str">
        <f t="shared" si="30"/>
        <v>Policy993</v>
      </c>
      <c r="C994" s="7" t="s">
        <v>11</v>
      </c>
      <c r="D994" s="6">
        <v>2022</v>
      </c>
      <c r="E994" s="6">
        <v>2024</v>
      </c>
      <c r="F994" s="8">
        <v>25255</v>
      </c>
    </row>
    <row r="995" spans="1:6" x14ac:dyDescent="0.4">
      <c r="A995" s="6">
        <f t="shared" si="31"/>
        <v>994</v>
      </c>
      <c r="B995" s="6" t="str">
        <f t="shared" si="30"/>
        <v>Policy994</v>
      </c>
      <c r="C995" s="7" t="s">
        <v>12</v>
      </c>
      <c r="D995" s="6">
        <v>2022</v>
      </c>
      <c r="E995" s="6">
        <v>2023</v>
      </c>
      <c r="F995" s="8">
        <v>4745717</v>
      </c>
    </row>
    <row r="996" spans="1:6" x14ac:dyDescent="0.4">
      <c r="A996" s="6">
        <f t="shared" si="31"/>
        <v>995</v>
      </c>
      <c r="B996" s="6" t="str">
        <f t="shared" si="30"/>
        <v>Policy995</v>
      </c>
      <c r="C996" s="7" t="s">
        <v>11</v>
      </c>
      <c r="D996" s="6">
        <v>2024</v>
      </c>
      <c r="E996" s="6">
        <v>2026</v>
      </c>
      <c r="F996" s="8">
        <v>3749</v>
      </c>
    </row>
    <row r="997" spans="1:6" x14ac:dyDescent="0.4">
      <c r="A997" s="6">
        <f t="shared" si="31"/>
        <v>996</v>
      </c>
      <c r="B997" s="6" t="str">
        <f t="shared" si="30"/>
        <v>Policy996</v>
      </c>
      <c r="C997" s="7" t="s">
        <v>11</v>
      </c>
      <c r="D997" s="6">
        <v>2022</v>
      </c>
      <c r="E997" s="6">
        <v>2024</v>
      </c>
      <c r="F997" s="8">
        <v>16479</v>
      </c>
    </row>
    <row r="998" spans="1:6" x14ac:dyDescent="0.4">
      <c r="A998" s="6">
        <f t="shared" si="31"/>
        <v>997</v>
      </c>
      <c r="B998" s="6" t="str">
        <f t="shared" si="30"/>
        <v>Policy997</v>
      </c>
      <c r="C998" s="7" t="s">
        <v>12</v>
      </c>
      <c r="D998" s="6">
        <v>2021</v>
      </c>
      <c r="E998" s="6">
        <v>2025</v>
      </c>
      <c r="F998" s="8">
        <v>4807805</v>
      </c>
    </row>
    <row r="999" spans="1:6" x14ac:dyDescent="0.4">
      <c r="A999" s="6">
        <f t="shared" si="31"/>
        <v>998</v>
      </c>
      <c r="B999" s="6" t="str">
        <f t="shared" si="30"/>
        <v>Policy998</v>
      </c>
      <c r="C999" s="7" t="s">
        <v>11</v>
      </c>
      <c r="D999" s="6">
        <v>2023</v>
      </c>
      <c r="E999" s="6">
        <v>2026</v>
      </c>
      <c r="F999" s="8">
        <v>36562</v>
      </c>
    </row>
    <row r="1000" spans="1:6" x14ac:dyDescent="0.4">
      <c r="A1000" s="6">
        <f t="shared" si="31"/>
        <v>999</v>
      </c>
      <c r="B1000" s="6" t="str">
        <f t="shared" si="30"/>
        <v>Policy999</v>
      </c>
      <c r="C1000" s="7" t="s">
        <v>11</v>
      </c>
      <c r="D1000" s="6">
        <v>2024</v>
      </c>
      <c r="E1000" s="6">
        <v>2025</v>
      </c>
      <c r="F1000" s="8">
        <v>3256</v>
      </c>
    </row>
    <row r="1001" spans="1:6" ht="16.5" thickBot="1" x14ac:dyDescent="0.45">
      <c r="A1001" s="12">
        <f t="shared" si="31"/>
        <v>1000</v>
      </c>
      <c r="B1001" s="12" t="str">
        <f t="shared" si="30"/>
        <v>Policy1000</v>
      </c>
      <c r="C1001" s="14" t="s">
        <v>12</v>
      </c>
      <c r="D1001" s="12">
        <v>2023</v>
      </c>
      <c r="E1001" s="12">
        <v>2024</v>
      </c>
      <c r="F1001" s="15">
        <v>4696646</v>
      </c>
    </row>
  </sheetData>
  <mergeCells count="1">
    <mergeCell ref="P4:P9"/>
  </mergeCells>
  <hyperlinks>
    <hyperlink ref="H7" location="'🗂️ TOC'!A1" display="Return Back" xr:uid="{D0F66295-3903-41A3-9C85-35D9BD4D149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A36C-B636-4755-9268-7657F1371370}">
  <sheetPr codeName="Sheet6"/>
  <dimension ref="A1:H11"/>
  <sheetViews>
    <sheetView showGridLines="0" workbookViewId="0">
      <selection activeCell="B1" sqref="B1"/>
    </sheetView>
  </sheetViews>
  <sheetFormatPr defaultRowHeight="16" x14ac:dyDescent="0.4"/>
  <cols>
    <col min="1" max="1" width="8.6640625" style="1"/>
    <col min="2" max="2" width="17" style="1" customWidth="1"/>
    <col min="3" max="3" width="23.5" style="1" bestFit="1" customWidth="1"/>
    <col min="4" max="4" width="32.08203125" style="1" bestFit="1" customWidth="1"/>
    <col min="5" max="5" width="25.33203125" style="1" customWidth="1"/>
    <col min="6" max="7" width="8.6640625" style="1"/>
    <col min="8" max="8" width="11" style="1" bestFit="1" customWidth="1"/>
    <col min="9" max="16384" width="8.6640625" style="1"/>
  </cols>
  <sheetData>
    <row r="1" spans="1:8" ht="16.5" thickBot="1" x14ac:dyDescent="0.45">
      <c r="B1" s="100" t="s">
        <v>74</v>
      </c>
      <c r="F1" s="4" t="s">
        <v>46</v>
      </c>
      <c r="G1" s="5"/>
      <c r="H1" s="5"/>
    </row>
    <row r="2" spans="1:8" x14ac:dyDescent="0.4">
      <c r="F2" s="19" t="s">
        <v>47</v>
      </c>
      <c r="G2" s="11"/>
      <c r="H2" s="83">
        <v>35253</v>
      </c>
    </row>
    <row r="3" spans="1:8" ht="16.5" thickBot="1" x14ac:dyDescent="0.45">
      <c r="F3" s="20" t="s">
        <v>48</v>
      </c>
      <c r="G3" s="13"/>
      <c r="H3" s="50">
        <f ca="1">DATEDIF(H2,TODAY(),"Y")</f>
        <v>28</v>
      </c>
    </row>
    <row r="4" spans="1:8" ht="16.5" thickBot="1" x14ac:dyDescent="0.45">
      <c r="A4" s="25" t="s">
        <v>5</v>
      </c>
      <c r="B4" s="25" t="s">
        <v>60</v>
      </c>
      <c r="C4" s="25" t="s">
        <v>61</v>
      </c>
      <c r="D4" s="89" t="s">
        <v>62</v>
      </c>
    </row>
    <row r="5" spans="1:8" ht="16.5" thickBot="1" x14ac:dyDescent="0.45">
      <c r="A5" s="6">
        <v>1</v>
      </c>
      <c r="B5" s="6" t="s">
        <v>49</v>
      </c>
      <c r="C5" s="87" t="s">
        <v>56</v>
      </c>
      <c r="D5" s="85" t="s">
        <v>50</v>
      </c>
      <c r="F5" s="4" t="s">
        <v>53</v>
      </c>
      <c r="G5" s="5"/>
      <c r="H5" s="5"/>
    </row>
    <row r="6" spans="1:8" x14ac:dyDescent="0.4">
      <c r="A6" s="6">
        <v>2</v>
      </c>
      <c r="B6" s="6" t="s">
        <v>51</v>
      </c>
      <c r="C6" s="87" t="s">
        <v>57</v>
      </c>
      <c r="D6" s="85" t="s">
        <v>52</v>
      </c>
      <c r="F6" s="19" t="s">
        <v>54</v>
      </c>
      <c r="G6" s="11"/>
      <c r="H6" s="83">
        <v>35253</v>
      </c>
    </row>
    <row r="7" spans="1:8" ht="16.5" thickBot="1" x14ac:dyDescent="0.45">
      <c r="A7" s="12">
        <v>3</v>
      </c>
      <c r="B7" s="12" t="s">
        <v>58</v>
      </c>
      <c r="C7" s="88" t="s">
        <v>63</v>
      </c>
      <c r="D7" s="86" t="s">
        <v>59</v>
      </c>
      <c r="F7" s="20" t="s">
        <v>55</v>
      </c>
      <c r="G7" s="13"/>
      <c r="H7" s="84">
        <f>EOMONTH(H6,0)</f>
        <v>35277</v>
      </c>
    </row>
    <row r="8" spans="1:8" ht="16.5" thickBot="1" x14ac:dyDescent="0.45"/>
    <row r="9" spans="1:8" ht="16.5" thickBot="1" x14ac:dyDescent="0.45">
      <c r="F9" s="4" t="s">
        <v>64</v>
      </c>
      <c r="G9" s="5"/>
      <c r="H9" s="5"/>
    </row>
    <row r="10" spans="1:8" x14ac:dyDescent="0.4">
      <c r="F10" s="19" t="s">
        <v>54</v>
      </c>
      <c r="G10" s="11"/>
      <c r="H10" s="83">
        <v>35253</v>
      </c>
    </row>
    <row r="11" spans="1:8" ht="16.5" thickBot="1" x14ac:dyDescent="0.45">
      <c r="F11" s="20" t="s">
        <v>65</v>
      </c>
      <c r="G11" s="13"/>
      <c r="H11" s="84">
        <f>EDATE(H10,1)</f>
        <v>35284</v>
      </c>
    </row>
  </sheetData>
  <hyperlinks>
    <hyperlink ref="B1" location="'🗂️ TOC'!A1" display="Return Back" xr:uid="{D7733E16-667E-4528-AD50-C4E9670140E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EE15-F4FB-42CB-9871-14D57FF1EF57}">
  <sheetPr codeName="Sheet7"/>
  <dimension ref="A1:AC19"/>
  <sheetViews>
    <sheetView showGridLines="0" workbookViewId="0"/>
  </sheetViews>
  <sheetFormatPr defaultRowHeight="16" outlineLevelCol="1" x14ac:dyDescent="0.4"/>
  <cols>
    <col min="1" max="1" width="15.9140625" style="1" customWidth="1"/>
    <col min="2" max="2" width="10.9140625" style="1" bestFit="1" customWidth="1"/>
    <col min="3" max="3" width="16.58203125" style="1" bestFit="1" customWidth="1"/>
    <col min="4" max="4" width="11.75" style="1" bestFit="1" customWidth="1"/>
    <col min="5" max="5" width="10.9140625" style="1" bestFit="1" customWidth="1"/>
    <col min="6" max="7" width="8.6640625" style="1"/>
    <col min="8" max="8" width="12.5" style="1" customWidth="1"/>
    <col min="9" max="9" width="10.08203125" style="1" customWidth="1"/>
    <col min="10" max="10" width="8.6640625" style="1" collapsed="1"/>
    <col min="11" max="11" width="8.6640625" style="1"/>
    <col min="12" max="12" width="11.83203125" style="1" hidden="1" customWidth="1" outlineLevel="1"/>
    <col min="13" max="13" width="9.9140625" style="1" hidden="1" customWidth="1" outlineLevel="1"/>
    <col min="14" max="18" width="0" style="1" hidden="1" customWidth="1" outlineLevel="1"/>
    <col min="19" max="19" width="9.1640625" style="1" hidden="1" customWidth="1" outlineLevel="1"/>
    <col min="20" max="20" width="11.1640625" style="1" hidden="1" customWidth="1" outlineLevel="1"/>
    <col min="21" max="21" width="19.9140625" style="1" hidden="1" customWidth="1" outlineLevel="1"/>
    <col min="22" max="22" width="11.25" style="1" hidden="1" customWidth="1" outlineLevel="1"/>
    <col min="23" max="23" width="10.5" style="1" hidden="1" customWidth="1" outlineLevel="1"/>
    <col min="24" max="26" width="0" style="1" hidden="1" customWidth="1" outlineLevel="1"/>
    <col min="27" max="27" width="9.83203125" style="1" hidden="1" customWidth="1" outlineLevel="1"/>
    <col min="28" max="28" width="0" style="1" hidden="1" customWidth="1" outlineLevel="1"/>
    <col min="29" max="29" width="8.6640625" style="1" collapsed="1"/>
    <col min="30" max="16384" width="8.6640625" style="1"/>
  </cols>
  <sheetData>
    <row r="1" spans="1:28" ht="16.5" thickBot="1" x14ac:dyDescent="0.45">
      <c r="A1" s="6" t="s">
        <v>28</v>
      </c>
      <c r="B1" s="79">
        <v>2300</v>
      </c>
      <c r="H1" s="100" t="s">
        <v>74</v>
      </c>
      <c r="L1" s="6" t="s">
        <v>28</v>
      </c>
      <c r="M1" s="79">
        <v>2300</v>
      </c>
    </row>
    <row r="2" spans="1:28" x14ac:dyDescent="0.4">
      <c r="A2" s="6" t="s">
        <v>27</v>
      </c>
      <c r="B2" s="80">
        <v>0.09</v>
      </c>
      <c r="L2" s="6" t="s">
        <v>27</v>
      </c>
      <c r="M2" s="80">
        <v>0.09</v>
      </c>
    </row>
    <row r="3" spans="1:28" x14ac:dyDescent="0.4">
      <c r="A3" s="6" t="s">
        <v>25</v>
      </c>
      <c r="B3" s="32">
        <v>10</v>
      </c>
      <c r="L3" s="6" t="s">
        <v>25</v>
      </c>
      <c r="M3" s="32">
        <v>8</v>
      </c>
    </row>
    <row r="4" spans="1:28" x14ac:dyDescent="0.4">
      <c r="A4" s="6" t="s">
        <v>37</v>
      </c>
      <c r="B4" s="58">
        <v>100</v>
      </c>
      <c r="L4" s="6" t="s">
        <v>37</v>
      </c>
      <c r="M4" s="58">
        <v>100</v>
      </c>
    </row>
    <row r="5" spans="1:28" ht="16.5" thickBot="1" x14ac:dyDescent="0.45">
      <c r="A5" s="12" t="s">
        <v>38</v>
      </c>
      <c r="B5" s="59">
        <v>149.76864564705812</v>
      </c>
      <c r="L5" s="12" t="s">
        <v>38</v>
      </c>
      <c r="M5" s="59">
        <v>120</v>
      </c>
    </row>
    <row r="6" spans="1:28" x14ac:dyDescent="0.4">
      <c r="R6" s="69"/>
      <c r="S6" s="70" t="s">
        <v>44</v>
      </c>
      <c r="T6" s="70"/>
      <c r="U6" s="70"/>
      <c r="V6" s="70"/>
      <c r="W6" s="71"/>
    </row>
    <row r="7" spans="1:28" ht="16.5" thickBot="1" x14ac:dyDescent="0.45">
      <c r="B7" s="63" t="s">
        <v>44</v>
      </c>
      <c r="C7" s="63"/>
      <c r="D7" s="63"/>
      <c r="E7" s="63"/>
      <c r="R7" s="64"/>
      <c r="T7" s="60" t="s">
        <v>35</v>
      </c>
      <c r="U7" s="60"/>
      <c r="V7" s="60" t="s">
        <v>36</v>
      </c>
      <c r="W7" s="65" t="s">
        <v>36</v>
      </c>
      <c r="AA7" s="1" t="s">
        <v>25</v>
      </c>
      <c r="AB7" s="1">
        <f>M3</f>
        <v>8</v>
      </c>
    </row>
    <row r="8" spans="1:28" ht="16.5" thickBot="1" x14ac:dyDescent="0.45">
      <c r="A8" s="60"/>
      <c r="B8" s="60" t="s">
        <v>35</v>
      </c>
      <c r="C8" s="60"/>
      <c r="D8" s="60" t="s">
        <v>36</v>
      </c>
      <c r="E8" s="60" t="s">
        <v>36</v>
      </c>
      <c r="N8" s="62"/>
      <c r="R8" s="72" t="s">
        <v>40</v>
      </c>
      <c r="S8" s="46" t="s">
        <v>45</v>
      </c>
      <c r="T8" s="75" t="s">
        <v>41</v>
      </c>
      <c r="U8" s="75" t="s">
        <v>42</v>
      </c>
      <c r="V8" s="73" t="s">
        <v>43</v>
      </c>
      <c r="W8" s="74" t="s">
        <v>41</v>
      </c>
      <c r="X8" s="81"/>
      <c r="AA8" s="1" t="s">
        <v>39</v>
      </c>
      <c r="AB8" s="1">
        <f>VLOOKUP(AB7,$R$8:$W$18,6,FALSE)</f>
        <v>-557.91836584524663</v>
      </c>
    </row>
    <row r="9" spans="1:28" ht="16.5" thickBot="1" x14ac:dyDescent="0.45">
      <c r="A9" s="61" t="s">
        <v>40</v>
      </c>
      <c r="B9" s="61" t="s">
        <v>41</v>
      </c>
      <c r="C9" s="61" t="s">
        <v>42</v>
      </c>
      <c r="D9" s="61" t="s">
        <v>43</v>
      </c>
      <c r="E9" s="61" t="s">
        <v>41</v>
      </c>
      <c r="R9" s="19">
        <v>1</v>
      </c>
      <c r="S9" s="78">
        <f t="shared" ref="S9:S18" si="0">IF(R9&lt;=Term,1,0)</f>
        <v>1</v>
      </c>
      <c r="T9" s="8">
        <f>Principal</f>
        <v>2300</v>
      </c>
      <c r="U9" s="76">
        <f t="shared" ref="U9:U18" si="1">T9*I</f>
        <v>207</v>
      </c>
      <c r="V9" s="57">
        <f t="shared" ref="V9:V18" si="2">(Repayment+(R9-1)*Increment)*S9</f>
        <v>100</v>
      </c>
      <c r="W9" s="66">
        <f>T9+U9-V9</f>
        <v>2407</v>
      </c>
    </row>
    <row r="10" spans="1:28" x14ac:dyDescent="0.4">
      <c r="A10" s="1">
        <v>1</v>
      </c>
      <c r="B10" s="57"/>
      <c r="C10" s="57"/>
      <c r="D10" s="57"/>
      <c r="E10" s="57"/>
      <c r="R10" s="19">
        <f>R9+1</f>
        <v>2</v>
      </c>
      <c r="S10" s="78">
        <f t="shared" si="0"/>
        <v>1</v>
      </c>
      <c r="T10" s="76">
        <f>W9*S10</f>
        <v>2407</v>
      </c>
      <c r="U10" s="76">
        <f t="shared" si="1"/>
        <v>216.63</v>
      </c>
      <c r="V10" s="57">
        <f t="shared" si="2"/>
        <v>220</v>
      </c>
      <c r="W10" s="66">
        <f>T10+U10-V10</f>
        <v>2403.63</v>
      </c>
    </row>
    <row r="11" spans="1:28" x14ac:dyDescent="0.4">
      <c r="A11" s="1">
        <f>A10+1</f>
        <v>2</v>
      </c>
      <c r="B11" s="57"/>
      <c r="C11" s="57"/>
      <c r="D11" s="57"/>
      <c r="E11" s="57"/>
      <c r="R11" s="19">
        <f t="shared" ref="R11:R18" si="3">R10+1</f>
        <v>3</v>
      </c>
      <c r="S11" s="78">
        <f t="shared" si="0"/>
        <v>1</v>
      </c>
      <c r="T11" s="76">
        <f t="shared" ref="T11:T18" si="4">W10*S11</f>
        <v>2403.63</v>
      </c>
      <c r="U11" s="76">
        <f t="shared" si="1"/>
        <v>216.32669999999999</v>
      </c>
      <c r="V11" s="57">
        <f t="shared" si="2"/>
        <v>340</v>
      </c>
      <c r="W11" s="66">
        <f t="shared" ref="W11:W18" si="5">T11+U11-V11</f>
        <v>2279.9567000000002</v>
      </c>
    </row>
    <row r="12" spans="1:28" x14ac:dyDescent="0.4">
      <c r="A12" s="1">
        <f t="shared" ref="A12:A19" si="6">A11+1</f>
        <v>3</v>
      </c>
      <c r="B12" s="57"/>
      <c r="C12" s="57"/>
      <c r="D12" s="57"/>
      <c r="E12" s="57"/>
      <c r="R12" s="19">
        <f t="shared" si="3"/>
        <v>4</v>
      </c>
      <c r="S12" s="78">
        <f t="shared" si="0"/>
        <v>1</v>
      </c>
      <c r="T12" s="76">
        <f t="shared" si="4"/>
        <v>2279.9567000000002</v>
      </c>
      <c r="U12" s="76">
        <f t="shared" si="1"/>
        <v>205.19610300000002</v>
      </c>
      <c r="V12" s="57">
        <f t="shared" si="2"/>
        <v>460</v>
      </c>
      <c r="W12" s="66">
        <f t="shared" si="5"/>
        <v>2025.1528030000004</v>
      </c>
    </row>
    <row r="13" spans="1:28" x14ac:dyDescent="0.4">
      <c r="A13" s="1">
        <f t="shared" si="6"/>
        <v>4</v>
      </c>
      <c r="B13" s="57"/>
      <c r="C13" s="57"/>
      <c r="D13" s="57"/>
      <c r="E13" s="57"/>
      <c r="R13" s="19">
        <f t="shared" si="3"/>
        <v>5</v>
      </c>
      <c r="S13" s="78">
        <f t="shared" si="0"/>
        <v>1</v>
      </c>
      <c r="T13" s="76">
        <f t="shared" si="4"/>
        <v>2025.1528030000004</v>
      </c>
      <c r="U13" s="76">
        <f t="shared" si="1"/>
        <v>182.26375227000003</v>
      </c>
      <c r="V13" s="57">
        <f t="shared" si="2"/>
        <v>580</v>
      </c>
      <c r="W13" s="66">
        <f t="shared" si="5"/>
        <v>1627.4165552700006</v>
      </c>
    </row>
    <row r="14" spans="1:28" x14ac:dyDescent="0.4">
      <c r="A14" s="1">
        <f t="shared" si="6"/>
        <v>5</v>
      </c>
      <c r="B14" s="57"/>
      <c r="C14" s="57"/>
      <c r="D14" s="57"/>
      <c r="E14" s="57"/>
      <c r="R14" s="19">
        <f t="shared" si="3"/>
        <v>6</v>
      </c>
      <c r="S14" s="78">
        <f t="shared" si="0"/>
        <v>1</v>
      </c>
      <c r="T14" s="76">
        <f t="shared" si="4"/>
        <v>1627.4165552700006</v>
      </c>
      <c r="U14" s="76">
        <f t="shared" si="1"/>
        <v>146.46748997430004</v>
      </c>
      <c r="V14" s="57">
        <f t="shared" si="2"/>
        <v>700</v>
      </c>
      <c r="W14" s="66">
        <f t="shared" si="5"/>
        <v>1073.8840452443005</v>
      </c>
    </row>
    <row r="15" spans="1:28" x14ac:dyDescent="0.4">
      <c r="A15" s="1">
        <f t="shared" si="6"/>
        <v>6</v>
      </c>
      <c r="B15" s="57"/>
      <c r="C15" s="57"/>
      <c r="D15" s="57"/>
      <c r="E15" s="57"/>
      <c r="R15" s="19">
        <f t="shared" si="3"/>
        <v>7</v>
      </c>
      <c r="S15" s="78">
        <f t="shared" si="0"/>
        <v>1</v>
      </c>
      <c r="T15" s="76">
        <f t="shared" si="4"/>
        <v>1073.8840452443005</v>
      </c>
      <c r="U15" s="76">
        <f t="shared" si="1"/>
        <v>96.649564071987044</v>
      </c>
      <c r="V15" s="57">
        <f t="shared" si="2"/>
        <v>820</v>
      </c>
      <c r="W15" s="66">
        <f t="shared" si="5"/>
        <v>350.53360931628754</v>
      </c>
    </row>
    <row r="16" spans="1:28" x14ac:dyDescent="0.4">
      <c r="A16" s="1">
        <f t="shared" si="6"/>
        <v>7</v>
      </c>
      <c r="B16" s="57"/>
      <c r="C16" s="57"/>
      <c r="D16" s="57"/>
      <c r="E16" s="57"/>
      <c r="R16" s="19">
        <f t="shared" si="3"/>
        <v>8</v>
      </c>
      <c r="S16" s="78">
        <f t="shared" si="0"/>
        <v>1</v>
      </c>
      <c r="T16" s="76">
        <f t="shared" si="4"/>
        <v>350.53360931628754</v>
      </c>
      <c r="U16" s="76">
        <f t="shared" si="1"/>
        <v>31.548024838465878</v>
      </c>
      <c r="V16" s="57">
        <f t="shared" si="2"/>
        <v>940</v>
      </c>
      <c r="W16" s="66">
        <f t="shared" si="5"/>
        <v>-557.91836584524663</v>
      </c>
    </row>
    <row r="17" spans="1:23" x14ac:dyDescent="0.4">
      <c r="A17" s="1">
        <f t="shared" si="6"/>
        <v>8</v>
      </c>
      <c r="B17" s="57"/>
      <c r="C17" s="57"/>
      <c r="D17" s="57"/>
      <c r="E17" s="57"/>
      <c r="R17" s="19">
        <f t="shared" si="3"/>
        <v>9</v>
      </c>
      <c r="S17" s="78">
        <f t="shared" si="0"/>
        <v>0</v>
      </c>
      <c r="T17" s="76">
        <f t="shared" si="4"/>
        <v>0</v>
      </c>
      <c r="U17" s="76">
        <f t="shared" si="1"/>
        <v>0</v>
      </c>
      <c r="V17" s="57">
        <f t="shared" si="2"/>
        <v>0</v>
      </c>
      <c r="W17" s="66">
        <f t="shared" si="5"/>
        <v>0</v>
      </c>
    </row>
    <row r="18" spans="1:23" ht="16.5" thickBot="1" x14ac:dyDescent="0.45">
      <c r="A18" s="1">
        <f t="shared" si="6"/>
        <v>9</v>
      </c>
      <c r="B18" s="57"/>
      <c r="C18" s="57"/>
      <c r="D18" s="57"/>
      <c r="E18" s="57"/>
      <c r="R18" s="20">
        <f t="shared" si="3"/>
        <v>10</v>
      </c>
      <c r="S18" s="82">
        <f t="shared" si="0"/>
        <v>0</v>
      </c>
      <c r="T18" s="77">
        <f t="shared" si="4"/>
        <v>0</v>
      </c>
      <c r="U18" s="77">
        <f t="shared" si="1"/>
        <v>0</v>
      </c>
      <c r="V18" s="67">
        <f t="shared" si="2"/>
        <v>0</v>
      </c>
      <c r="W18" s="68">
        <f t="shared" si="5"/>
        <v>0</v>
      </c>
    </row>
    <row r="19" spans="1:23" x14ac:dyDescent="0.4">
      <c r="A19" s="1">
        <f t="shared" si="6"/>
        <v>10</v>
      </c>
      <c r="B19" s="57"/>
      <c r="C19" s="57"/>
      <c r="D19" s="57"/>
      <c r="E19" s="57"/>
    </row>
  </sheetData>
  <dataValidations count="1">
    <dataValidation type="whole" allowBlank="1" showInputMessage="1" showErrorMessage="1" error="Term must be between 5 and 10" promptTitle="Loan Term" prompt="Please Input the loan Term" sqref="B3 M3" xr:uid="{A62CE9D5-EF3E-40CC-9B03-B63682D76D49}">
      <formula1>5</formula1>
      <formula2>10</formula2>
    </dataValidation>
  </dataValidations>
  <hyperlinks>
    <hyperlink ref="H1" location="'🗂️ TOC'!A1" display="Return Back" xr:uid="{13F06DDF-A4AA-4F38-8DCA-A93BA308175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🧾 About This Workbook</vt:lpstr>
      <vt:lpstr>I</vt:lpstr>
      <vt:lpstr>Increment</vt:lpstr>
      <vt:lpstr>Principal</vt:lpstr>
      <vt:lpstr>Repayment</vt:lpstr>
      <vt:lpstr>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Shrestha</dc:creator>
  <cp:lastModifiedBy>Krishna Shrestha</cp:lastModifiedBy>
  <dcterms:created xsi:type="dcterms:W3CDTF">2025-04-09T03:29:40Z</dcterms:created>
  <dcterms:modified xsi:type="dcterms:W3CDTF">2025-04-16T17:33:54Z</dcterms:modified>
</cp:coreProperties>
</file>
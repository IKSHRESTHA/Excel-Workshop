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krish\OneDrive\Desktop\Personal Project\Excel Workshop\BackUp\"/>
    </mc:Choice>
  </mc:AlternateContent>
  <xr:revisionPtr revIDLastSave="0" documentId="13_ncr:1_{2A913460-D9E8-4DE4-A0CF-7E642A6E2EA8}" xr6:coauthVersionLast="47" xr6:coauthVersionMax="47" xr10:uidLastSave="{00000000-0000-0000-0000-000000000000}"/>
  <bookViews>
    <workbookView xWindow="-110" yWindow="-110" windowWidth="19420" windowHeight="10300" activeTab="1" xr2:uid="{75BAD78C-209E-42F5-8668-A74B3851A06C}"/>
  </bookViews>
  <sheets>
    <sheet name="Info" sheetId="1" r:id="rId1"/>
    <sheet name="Reserve Calculation 1" sheetId="2" r:id="rId2"/>
    <sheet name="Mortality Table" sheetId="3" r:id="rId3"/>
  </sheets>
  <definedNames>
    <definedName name="mort">'Mortality Table'!$H$1:$I$122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0" i="2" l="1"/>
  <c r="AG11" i="2"/>
  <c r="AG12" i="2"/>
  <c r="AG13" i="2"/>
  <c r="AG14" i="2"/>
  <c r="AG15" i="2"/>
  <c r="AG16" i="2"/>
  <c r="AG17" i="2"/>
  <c r="AG18" i="2"/>
  <c r="AG9" i="2"/>
  <c r="AF10" i="2"/>
  <c r="AF11" i="2"/>
  <c r="AF12" i="2"/>
  <c r="AF13" i="2"/>
  <c r="AF14" i="2"/>
  <c r="AF15" i="2"/>
  <c r="AF16" i="2"/>
  <c r="AF17" i="2"/>
  <c r="AF18" i="2"/>
  <c r="AF9" i="2"/>
  <c r="AD10" i="2" a="1"/>
  <c r="AD10" i="2"/>
  <c r="AD11" i="2" a="1"/>
  <c r="AD11" i="2"/>
  <c r="AD12" i="2" a="1"/>
  <c r="AD12" i="2"/>
  <c r="AD13" i="2" a="1"/>
  <c r="AD13" i="2"/>
  <c r="AD14" i="2" a="1"/>
  <c r="AD14" i="2"/>
  <c r="AD15" i="2" a="1"/>
  <c r="AD15" i="2"/>
  <c r="AD16" i="2" a="1"/>
  <c r="AD16" i="2"/>
  <c r="AD17" i="2" a="1"/>
  <c r="AD17" i="2"/>
  <c r="AD18" i="2" a="1"/>
  <c r="AD18" i="2"/>
  <c r="AD9" i="2" a="1"/>
  <c r="AD9" i="2" s="1"/>
  <c r="AC10" i="2" a="1"/>
  <c r="AC10" i="2"/>
  <c r="AC11" i="2" a="1"/>
  <c r="AC11" i="2"/>
  <c r="AC12" i="2" a="1"/>
  <c r="AC12" i="2"/>
  <c r="AC13" i="2" a="1"/>
  <c r="AC13" i="2"/>
  <c r="AC14" i="2" a="1"/>
  <c r="AC14" i="2"/>
  <c r="AC15" i="2" a="1"/>
  <c r="AC15" i="2"/>
  <c r="AC16" i="2" a="1"/>
  <c r="AC16" i="2"/>
  <c r="AC17" i="2" a="1"/>
  <c r="AC17" i="2"/>
  <c r="AC18" i="2" a="1"/>
  <c r="AC18" i="2"/>
  <c r="AC9" i="2" a="1"/>
  <c r="AC9" i="2"/>
  <c r="W10" i="2"/>
  <c r="W11" i="2"/>
  <c r="W12" i="2"/>
  <c r="W13" i="2"/>
  <c r="W14" i="2"/>
  <c r="W15" i="2"/>
  <c r="W16" i="2"/>
  <c r="W17" i="2"/>
  <c r="W18" i="2"/>
  <c r="W9" i="2"/>
  <c r="Y10" i="2"/>
  <c r="Y11" i="2"/>
  <c r="Y12" i="2"/>
  <c r="Y13" i="2"/>
  <c r="Y14" i="2"/>
  <c r="Y15" i="2"/>
  <c r="Y16" i="2"/>
  <c r="Y17" i="2"/>
  <c r="Y18" i="2"/>
  <c r="Y9" i="2"/>
  <c r="X10" i="2"/>
  <c r="X11" i="2"/>
  <c r="X12" i="2"/>
  <c r="X13" i="2"/>
  <c r="X14" i="2"/>
  <c r="X15" i="2"/>
  <c r="X16" i="2"/>
  <c r="X17" i="2"/>
  <c r="X18" i="2"/>
  <c r="X9" i="2"/>
  <c r="V10" i="2"/>
  <c r="V11" i="2"/>
  <c r="V12" i="2"/>
  <c r="V13" i="2"/>
  <c r="V14" i="2"/>
  <c r="V15" i="2"/>
  <c r="V16" i="2"/>
  <c r="V17" i="2"/>
  <c r="V18" i="2"/>
  <c r="V9" i="2"/>
  <c r="R10" i="2"/>
  <c r="R11" i="2"/>
  <c r="R12" i="2"/>
  <c r="R13" i="2"/>
  <c r="R14" i="2"/>
  <c r="R15" i="2"/>
  <c r="R16" i="2"/>
  <c r="R17" i="2"/>
  <c r="R18" i="2"/>
  <c r="R9" i="2"/>
  <c r="Q10" i="2"/>
  <c r="Q11" i="2"/>
  <c r="Q12" i="2"/>
  <c r="Q13" i="2"/>
  <c r="Q14" i="2"/>
  <c r="Q15" i="2"/>
  <c r="Q16" i="2"/>
  <c r="Q17" i="2"/>
  <c r="Q18" i="2"/>
  <c r="Q9" i="2"/>
  <c r="P10" i="2"/>
  <c r="P11" i="2"/>
  <c r="P12" i="2"/>
  <c r="P13" i="2"/>
  <c r="P14" i="2"/>
  <c r="P15" i="2"/>
  <c r="P16" i="2"/>
  <c r="P17" i="2"/>
  <c r="P18" i="2"/>
  <c r="P9" i="2"/>
  <c r="O10" i="2"/>
  <c r="O11" i="2"/>
  <c r="O12" i="2"/>
  <c r="O13" i="2"/>
  <c r="O14" i="2"/>
  <c r="O15" i="2"/>
  <c r="O16" i="2"/>
  <c r="O17" i="2"/>
  <c r="O18" i="2"/>
  <c r="O9" i="2"/>
  <c r="F8" i="2"/>
  <c r="E8" i="2"/>
  <c r="D9" i="2"/>
  <c r="D10" i="2" s="1"/>
  <c r="B5" i="2"/>
  <c r="F9" i="2" l="1"/>
  <c r="D11" i="2"/>
  <c r="E10" i="2"/>
  <c r="H10" i="2" s="1"/>
  <c r="F10" i="2"/>
  <c r="E9" i="2"/>
  <c r="H9" i="2" s="1"/>
  <c r="J9" i="2" s="1"/>
  <c r="K9" i="2" l="1"/>
  <c r="I9" i="2" s="1"/>
  <c r="D12" i="2"/>
  <c r="E11" i="2"/>
  <c r="H11" i="2" s="1"/>
  <c r="F11" i="2"/>
  <c r="J10" i="2" l="1"/>
  <c r="K10" i="2"/>
  <c r="F12" i="2"/>
  <c r="D13" i="2"/>
  <c r="E12" i="2"/>
  <c r="H12" i="2" s="1"/>
  <c r="D14" i="2" l="1"/>
  <c r="E13" i="2"/>
  <c r="H13" i="2" s="1"/>
  <c r="F13" i="2"/>
  <c r="I10" i="2"/>
  <c r="J11" i="2" l="1"/>
  <c r="K11" i="2"/>
  <c r="F14" i="2"/>
  <c r="D15" i="2"/>
  <c r="E14" i="2"/>
  <c r="H14" i="2" s="1"/>
  <c r="F15" i="2" l="1"/>
  <c r="D16" i="2"/>
  <c r="E15" i="2"/>
  <c r="H15" i="2" s="1"/>
  <c r="I11" i="2"/>
  <c r="J12" i="2" l="1"/>
  <c r="K12" i="2"/>
  <c r="F16" i="2"/>
  <c r="D17" i="2"/>
  <c r="E16" i="2"/>
  <c r="H16" i="2" s="1"/>
  <c r="F17" i="2" l="1"/>
  <c r="D18" i="2"/>
  <c r="E17" i="2"/>
  <c r="H17" i="2" s="1"/>
  <c r="I12" i="2"/>
  <c r="J13" i="2" l="1"/>
  <c r="K13" i="2"/>
  <c r="E18" i="2"/>
  <c r="H18" i="2" s="1"/>
  <c r="F18" i="2"/>
  <c r="I13" i="2" l="1"/>
  <c r="J14" i="2" l="1"/>
  <c r="K14" i="2"/>
  <c r="I14" i="2" l="1"/>
  <c r="J15" i="2" l="1"/>
  <c r="K15" i="2"/>
  <c r="I15" i="2"/>
  <c r="J16" i="2" l="1"/>
  <c r="K16" i="2"/>
  <c r="I16" i="2" l="1"/>
  <c r="J17" i="2" l="1"/>
  <c r="K17" i="2"/>
  <c r="I17" i="2" l="1"/>
  <c r="J18" i="2" l="1"/>
  <c r="K18" i="2"/>
  <c r="I1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<sst xmlns="http://schemas.openxmlformats.org/spreadsheetml/2006/main" count="86" uniqueCount="54">
  <si>
    <t>Term Insurance Product Definition</t>
  </si>
  <si>
    <t>Name</t>
  </si>
  <si>
    <t>Secure20 Term Life</t>
  </si>
  <si>
    <t>Product Type</t>
  </si>
  <si>
    <t>Level Term Life Insurance</t>
  </si>
  <si>
    <t>Policy Features</t>
  </si>
  <si>
    <t>Feature</t>
  </si>
  <si>
    <t>Details</t>
  </si>
  <si>
    <t xml:space="preserve">Policyholder Entry age </t>
  </si>
  <si>
    <t>Term Length</t>
  </si>
  <si>
    <t>5,10,15</t>
  </si>
  <si>
    <t>Sum Assured</t>
  </si>
  <si>
    <t>Premium Payment Term</t>
  </si>
  <si>
    <t>Premium Payment Timing</t>
  </si>
  <si>
    <t>Beginning of Each Year</t>
  </si>
  <si>
    <t>Death Benefit</t>
  </si>
  <si>
    <t>Paid at end of policy Year if death occurs during that year</t>
  </si>
  <si>
    <t>Surrender/Refund Value</t>
  </si>
  <si>
    <t>None (Pure Term Plan)</t>
  </si>
  <si>
    <t>Underwriting Class</t>
  </si>
  <si>
    <t>Ultimate Mortality</t>
  </si>
  <si>
    <t>Premium</t>
  </si>
  <si>
    <t>5% of SA</t>
  </si>
  <si>
    <t>Expenses</t>
  </si>
  <si>
    <t>None for Now</t>
  </si>
  <si>
    <t>Reserve Basis</t>
  </si>
  <si>
    <t>Prospective Reserve</t>
  </si>
  <si>
    <t>SA</t>
  </si>
  <si>
    <t>Age</t>
  </si>
  <si>
    <t>Term</t>
  </si>
  <si>
    <t>Interest</t>
  </si>
  <si>
    <t>qx</t>
  </si>
  <si>
    <t>DF</t>
  </si>
  <si>
    <t>q_x</t>
  </si>
  <si>
    <t>Expected Inforce</t>
  </si>
  <si>
    <t>lx</t>
  </si>
  <si>
    <t>#of</t>
  </si>
  <si>
    <t>death</t>
  </si>
  <si>
    <t># of</t>
  </si>
  <si>
    <t>lapse</t>
  </si>
  <si>
    <t>EOY</t>
  </si>
  <si>
    <t>Lapse</t>
  </si>
  <si>
    <t>Benefits</t>
  </si>
  <si>
    <t>Commission</t>
  </si>
  <si>
    <t>Admin Expense</t>
  </si>
  <si>
    <t>Dth Ben</t>
  </si>
  <si>
    <t>SB Ben</t>
  </si>
  <si>
    <t>Mat Ben</t>
  </si>
  <si>
    <t>BOY</t>
  </si>
  <si>
    <t>Expected Benefit</t>
  </si>
  <si>
    <t>Net Cashflow</t>
  </si>
  <si>
    <t>GPV Reserve</t>
  </si>
  <si>
    <t>Commession</t>
  </si>
  <si>
    <t>Surrender Benefit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</si>
</sst>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7B22E-86F7-4757-AC9D-8209EDFB9E19}">
  <dimension ref="A1:B18"/>
  <sheetViews>
    <sheetView workbookViewId="0">
      <selection activeCell="D14" sqref="D14"/>
    </sheetView>
  </sheetViews>
  <sheetFormatPr defaultRowHeight="15.5" x14ac:dyDescent="0.35"/>
  <cols>
    <col min="1" max="1" width="29.1640625" bestFit="1" customWidth="1"/>
    <col min="2" max="2" width="48" bestFit="1" customWidth="1"/>
  </cols>
  <sheetData>
    <row r="1" spans="1:2" x14ac:dyDescent="0.35">
      <c r="A1" t="s">
        <v>0</v>
      </c>
    </row>
    <row r="3" spans="1:2" x14ac:dyDescent="0.35">
      <c r="A3" t="s">
        <v>1</v>
      </c>
      <c r="B3" t="s">
        <v>2</v>
      </c>
    </row>
    <row r="4" spans="1:2" x14ac:dyDescent="0.35">
      <c r="A4" t="s">
        <v>3</v>
      </c>
      <c r="B4" t="s">
        <v>4</v>
      </c>
    </row>
    <row r="5" spans="1:2" x14ac:dyDescent="0.35">
      <c r="A5" t="s">
        <v>5</v>
      </c>
    </row>
    <row r="7" spans="1:2" x14ac:dyDescent="0.35">
      <c r="A7" t="s">
        <v>6</v>
      </c>
      <c r="B7" t="s">
        <v>7</v>
      </c>
    </row>
    <row r="8" spans="1:2" x14ac:dyDescent="0.35">
      <c r="A8" t="s">
        <v>8</v>
      </c>
      <c r="B8">
        <v>30</v>
      </c>
    </row>
    <row r="9" spans="1:2" x14ac:dyDescent="0.35">
      <c r="A9" t="s">
        <v>9</v>
      </c>
      <c r="B9" t="s">
        <v>10</v>
      </c>
    </row>
    <row r="10" spans="1:2" x14ac:dyDescent="0.35">
      <c r="A10" t="s">
        <v>11</v>
      </c>
      <c r="B10">
        <v>10000</v>
      </c>
    </row>
    <row r="11" spans="1:2" x14ac:dyDescent="0.35">
      <c r="A11" t="s">
        <v>12</v>
      </c>
      <c r="B11" t="s">
        <v>10</v>
      </c>
    </row>
    <row r="12" spans="1:2" x14ac:dyDescent="0.35">
      <c r="A12" t="s">
        <v>13</v>
      </c>
      <c r="B12" t="s">
        <v>14</v>
      </c>
    </row>
    <row r="13" spans="1:2" x14ac:dyDescent="0.35">
      <c r="A13" t="s">
        <v>15</v>
      </c>
      <c r="B13" t="s">
        <v>16</v>
      </c>
    </row>
    <row r="14" spans="1:2" x14ac:dyDescent="0.35">
      <c r="A14" t="s">
        <v>17</v>
      </c>
      <c r="B14" t="s">
        <v>18</v>
      </c>
    </row>
    <row r="15" spans="1:2" x14ac:dyDescent="0.35">
      <c r="A15" t="s">
        <v>19</v>
      </c>
      <c r="B15" t="s">
        <v>20</v>
      </c>
    </row>
    <row r="16" spans="1:2" x14ac:dyDescent="0.35">
      <c r="A16" t="s">
        <v>21</v>
      </c>
      <c r="B16" t="s">
        <v>22</v>
      </c>
    </row>
    <row r="17" spans="1:2" x14ac:dyDescent="0.35">
      <c r="A17" t="s">
        <v>23</v>
      </c>
      <c r="B17" t="s">
        <v>24</v>
      </c>
    </row>
    <row r="18" spans="1:2" x14ac:dyDescent="0.35">
      <c r="A18" t="s">
        <v>25</v>
      </c>
      <c r="B18" t="s">
        <v>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961BD-0745-415A-AC11-7F8961496DD6}">
  <dimension ref="A1:AG18"/>
  <sheetViews>
    <sheetView showGridLines="0" tabSelected="1" workbookViewId="0">
      <selection activeCell="K8" sqref="K8"/>
    </sheetView>
  </sheetViews>
  <sheetFormatPr defaultRowHeight="15.5" x14ac:dyDescent="0.35"/>
  <cols>
    <col min="16" max="16" width="10.58203125" bestFit="1" customWidth="1"/>
    <col min="17" max="17" width="13.58203125" bestFit="1" customWidth="1"/>
    <col min="32" max="32" width="9" bestFit="1" customWidth="1"/>
  </cols>
  <sheetData>
    <row r="1" spans="1:33" x14ac:dyDescent="0.35">
      <c r="A1" t="s">
        <v>27</v>
      </c>
      <c r="B1" s="1">
        <v>100000</v>
      </c>
      <c r="E1" t="s">
        <v>41</v>
      </c>
      <c r="F1" s="2">
        <v>0</v>
      </c>
      <c r="H1" t="s">
        <v>53</v>
      </c>
      <c r="I1">
        <v>0</v>
      </c>
    </row>
    <row r="2" spans="1:33" x14ac:dyDescent="0.35">
      <c r="A2" t="s">
        <v>28</v>
      </c>
      <c r="B2">
        <v>30</v>
      </c>
      <c r="E2" t="s">
        <v>52</v>
      </c>
      <c r="F2" s="2">
        <v>0.05</v>
      </c>
    </row>
    <row r="3" spans="1:33" x14ac:dyDescent="0.35">
      <c r="A3" t="s">
        <v>29</v>
      </c>
      <c r="B3">
        <v>10</v>
      </c>
      <c r="E3" t="s">
        <v>44</v>
      </c>
      <c r="F3" s="2">
        <v>0.05</v>
      </c>
    </row>
    <row r="4" spans="1:33" x14ac:dyDescent="0.35">
      <c r="A4" t="s">
        <v>30</v>
      </c>
      <c r="B4" s="2">
        <v>0.05</v>
      </c>
      <c r="I4" t="s">
        <v>34</v>
      </c>
      <c r="O4" t="s">
        <v>42</v>
      </c>
      <c r="V4" t="s">
        <v>49</v>
      </c>
    </row>
    <row r="5" spans="1:33" x14ac:dyDescent="0.35">
      <c r="A5" t="s">
        <v>21</v>
      </c>
      <c r="B5">
        <f>5%*B1</f>
        <v>5000</v>
      </c>
      <c r="C5" t="s">
        <v>22</v>
      </c>
      <c r="J5" t="s">
        <v>36</v>
      </c>
      <c r="K5" t="s">
        <v>38</v>
      </c>
      <c r="AC5" t="s">
        <v>50</v>
      </c>
    </row>
    <row r="6" spans="1:33" x14ac:dyDescent="0.35">
      <c r="H6" t="s">
        <v>33</v>
      </c>
      <c r="I6" t="s">
        <v>35</v>
      </c>
      <c r="J6" t="s">
        <v>37</v>
      </c>
      <c r="K6" t="s">
        <v>39</v>
      </c>
      <c r="V6">
        <v>-1</v>
      </c>
      <c r="W6">
        <v>1</v>
      </c>
      <c r="X6">
        <v>1</v>
      </c>
      <c r="Y6">
        <v>1</v>
      </c>
      <c r="Z6">
        <v>1</v>
      </c>
      <c r="AA6">
        <v>1</v>
      </c>
    </row>
    <row r="7" spans="1:33" x14ac:dyDescent="0.35">
      <c r="D7" t="s">
        <v>29</v>
      </c>
      <c r="E7" t="s">
        <v>28</v>
      </c>
      <c r="F7" t="s">
        <v>32</v>
      </c>
      <c r="H7" t="s">
        <v>40</v>
      </c>
      <c r="I7" t="s">
        <v>35</v>
      </c>
      <c r="J7" t="s">
        <v>37</v>
      </c>
      <c r="K7" t="s">
        <v>39</v>
      </c>
      <c r="O7" t="s">
        <v>21</v>
      </c>
      <c r="P7" t="s">
        <v>43</v>
      </c>
      <c r="Q7" t="s">
        <v>44</v>
      </c>
      <c r="R7" t="s">
        <v>45</v>
      </c>
      <c r="S7" t="s">
        <v>46</v>
      </c>
      <c r="T7" t="s">
        <v>47</v>
      </c>
      <c r="V7" t="s">
        <v>21</v>
      </c>
      <c r="W7" t="s">
        <v>43</v>
      </c>
      <c r="X7" t="s">
        <v>44</v>
      </c>
      <c r="Y7" t="s">
        <v>45</v>
      </c>
      <c r="Z7" t="s">
        <v>46</v>
      </c>
      <c r="AA7" t="s">
        <v>47</v>
      </c>
      <c r="AC7" t="s">
        <v>48</v>
      </c>
      <c r="AD7" t="s">
        <v>40</v>
      </c>
      <c r="AF7" t="s">
        <v>51</v>
      </c>
    </row>
    <row r="8" spans="1:33" x14ac:dyDescent="0.35">
      <c r="D8">
        <v>0</v>
      </c>
      <c r="E8">
        <f>$B$2+D8</f>
        <v>30</v>
      </c>
      <c r="F8">
        <f>(1+$B$4)^-D8</f>
        <v>1</v>
      </c>
      <c r="I8">
        <v>1</v>
      </c>
      <c r="O8" t="s">
        <v>48</v>
      </c>
      <c r="P8" t="s">
        <v>48</v>
      </c>
      <c r="Q8" t="s">
        <v>48</v>
      </c>
      <c r="R8" t="s">
        <v>40</v>
      </c>
      <c r="S8" t="s">
        <v>40</v>
      </c>
      <c r="T8" t="s">
        <v>40</v>
      </c>
      <c r="V8" t="s">
        <v>48</v>
      </c>
      <c r="W8" t="s">
        <v>48</v>
      </c>
      <c r="X8" t="s">
        <v>48</v>
      </c>
      <c r="Y8" t="s">
        <v>40</v>
      </c>
      <c r="Z8" t="s">
        <v>40</v>
      </c>
      <c r="AA8" t="s">
        <v>40</v>
      </c>
      <c r="AF8" t="s">
        <v>48</v>
      </c>
      <c r="AG8" t="s">
        <v>40</v>
      </c>
    </row>
    <row r="9" spans="1:33" x14ac:dyDescent="0.35">
      <c r="D9">
        <f>D8+1</f>
        <v>1</v>
      </c>
      <c r="E9">
        <f t="shared" ref="E9:E18" si="0">$B$2+D9</f>
        <v>31</v>
      </c>
      <c r="F9">
        <f t="shared" ref="F9:F18" si="1">(1+$B$4)^-D9</f>
        <v>0.95238095238095233</v>
      </c>
      <c r="H9">
        <f t="shared" ref="H9:H18" si="2">VLOOKUP(E9,mort,2,FALSE)</f>
        <v>8.34E-4</v>
      </c>
      <c r="I9">
        <f>I8-SUM(J9:K9)</f>
        <v>0.999166</v>
      </c>
      <c r="J9">
        <f>I8*H9</f>
        <v>8.34E-4</v>
      </c>
      <c r="K9">
        <f>(I8-J9)*$F$1</f>
        <v>0</v>
      </c>
      <c r="O9">
        <f>$B$5</f>
        <v>5000</v>
      </c>
      <c r="P9">
        <f>O9*$F$2</f>
        <v>250</v>
      </c>
      <c r="Q9">
        <f>O9*$F$3</f>
        <v>250</v>
      </c>
      <c r="R9" s="1">
        <f>$B$1</f>
        <v>100000</v>
      </c>
      <c r="S9">
        <v>0</v>
      </c>
      <c r="T9">
        <v>0</v>
      </c>
      <c r="V9">
        <f>O9*I8</f>
        <v>5000</v>
      </c>
      <c r="W9">
        <f>I8*P9</f>
        <v>250</v>
      </c>
      <c r="X9">
        <f>I8*I8</f>
        <v>1</v>
      </c>
      <c r="Y9">
        <f>R9*J9</f>
        <v>83.4</v>
      </c>
      <c r="Z9">
        <v>0</v>
      </c>
      <c r="AA9">
        <v>0</v>
      </c>
      <c r="AC9" cm="1">
        <f t="array" ref="AC9">SUMPRODUCT(($V$8:$AA$8=$AC$7)*
($V9:$AA9)*
($V$6:$AA$6))</f>
        <v>-4749</v>
      </c>
      <c r="AD9" cm="1">
        <f t="array" ref="AD9">SUMPRODUCT(($V$8:$AA$8=$AD$7)*
($V9:$AA9)*
($V$6:$AA$6))</f>
        <v>83.4</v>
      </c>
      <c r="AF9">
        <f>SUMPRODUCT(AC9:$AC$18,F8:$F$17)</f>
        <v>-38374.858236039552</v>
      </c>
      <c r="AG9">
        <f>SUMPRODUCT(AD9:$AD$18,F9:$F$18)</f>
        <v>640.93176500628692</v>
      </c>
    </row>
    <row r="10" spans="1:33" x14ac:dyDescent="0.35">
      <c r="D10">
        <f t="shared" ref="D10:D18" si="3">D9+1</f>
        <v>2</v>
      </c>
      <c r="E10">
        <f t="shared" si="0"/>
        <v>32</v>
      </c>
      <c r="F10">
        <f t="shared" si="1"/>
        <v>0.90702947845804982</v>
      </c>
      <c r="H10">
        <f t="shared" si="2"/>
        <v>8.3799999999999999E-4</v>
      </c>
      <c r="I10">
        <f t="shared" ref="I10:I18" si="4">I9-SUM(J10:K10)</f>
        <v>0.99832869889200004</v>
      </c>
      <c r="J10">
        <f t="shared" ref="J10:J18" si="5">I9*H10</f>
        <v>8.3730110799999993E-4</v>
      </c>
      <c r="K10">
        <f t="shared" ref="K10:K18" si="6">(I9-J10)*$F$1</f>
        <v>0</v>
      </c>
      <c r="O10">
        <f t="shared" ref="O10:O18" si="7">$B$5</f>
        <v>5000</v>
      </c>
      <c r="P10">
        <f t="shared" ref="P10:P18" si="8">O10*$F$2</f>
        <v>250</v>
      </c>
      <c r="Q10">
        <f t="shared" ref="Q10:Q18" si="9">O10*$F$3</f>
        <v>250</v>
      </c>
      <c r="R10" s="1">
        <f t="shared" ref="R10:R18" si="10">$B$1</f>
        <v>100000</v>
      </c>
      <c r="S10">
        <v>0</v>
      </c>
      <c r="T10">
        <v>0</v>
      </c>
      <c r="V10">
        <f t="shared" ref="V10:V18" si="11">O10*I9</f>
        <v>4995.83</v>
      </c>
      <c r="W10">
        <f t="shared" ref="W10:W18" si="12">I9*P10</f>
        <v>249.79150000000001</v>
      </c>
      <c r="X10">
        <f t="shared" ref="X10:X18" si="13">I9*I9</f>
        <v>0.99833269555600002</v>
      </c>
      <c r="Y10">
        <f t="shared" ref="Y10:Y18" si="14">R10*J10</f>
        <v>83.730110799999991</v>
      </c>
      <c r="Z10">
        <v>0</v>
      </c>
      <c r="AA10">
        <v>0</v>
      </c>
      <c r="AC10" cm="1">
        <f t="array" ref="AC10">SUMPRODUCT(($V$8:$AA$8=$AC$7)*
($V10:$AA10)*
($V$6:$AA$6))</f>
        <v>-4745.0401673044435</v>
      </c>
      <c r="AD10" cm="1">
        <f t="array" ref="AD10">SUMPRODUCT(($V$8:$AA$8=$AD$7)*
($V10:$AA10)*
($V$6:$AA$6))</f>
        <v>83.730110799999991</v>
      </c>
      <c r="AF10">
        <f>SUMPRODUCT(AC10:$AC$18,F9:$F$17)</f>
        <v>-33625.858236039552</v>
      </c>
      <c r="AG10">
        <f>SUMPRODUCT(AD10:$AD$18,F10:$F$18)</f>
        <v>561.50319357771548</v>
      </c>
    </row>
    <row r="11" spans="1:33" x14ac:dyDescent="0.35">
      <c r="D11">
        <f t="shared" si="3"/>
        <v>3</v>
      </c>
      <c r="E11">
        <f t="shared" si="0"/>
        <v>33</v>
      </c>
      <c r="F11">
        <f t="shared" si="1"/>
        <v>0.86383759853147601</v>
      </c>
      <c r="H11">
        <f t="shared" si="2"/>
        <v>8.2799999999999996E-4</v>
      </c>
      <c r="I11">
        <f t="shared" si="4"/>
        <v>0.99750208272931751</v>
      </c>
      <c r="J11">
        <f t="shared" si="5"/>
        <v>8.2661616268257603E-4</v>
      </c>
      <c r="K11">
        <f t="shared" si="6"/>
        <v>0</v>
      </c>
      <c r="O11">
        <f t="shared" si="7"/>
        <v>5000</v>
      </c>
      <c r="P11">
        <f t="shared" si="8"/>
        <v>250</v>
      </c>
      <c r="Q11">
        <f t="shared" si="9"/>
        <v>250</v>
      </c>
      <c r="R11" s="1">
        <f t="shared" si="10"/>
        <v>100000</v>
      </c>
      <c r="S11">
        <v>0</v>
      </c>
      <c r="T11">
        <v>0</v>
      </c>
      <c r="V11">
        <f t="shared" si="11"/>
        <v>4991.6434944600005</v>
      </c>
      <c r="W11">
        <f t="shared" si="12"/>
        <v>249.58217472300001</v>
      </c>
      <c r="X11">
        <f t="shared" si="13"/>
        <v>0.99666019103139369</v>
      </c>
      <c r="Y11">
        <f t="shared" si="14"/>
        <v>82.661616268257603</v>
      </c>
      <c r="Z11">
        <v>0</v>
      </c>
      <c r="AA11">
        <v>0</v>
      </c>
      <c r="AC11" cm="1">
        <f t="array" ref="AC11">SUMPRODUCT(($V$8:$AA$8=$AC$7)*
($V11:$AA11)*
($V$6:$AA$6))</f>
        <v>-4741.0646595459693</v>
      </c>
      <c r="AD11" cm="1">
        <f t="array" ref="AD11">SUMPRODUCT(($V$8:$AA$8=$AD$7)*
($V11:$AA11)*
($V$6:$AA$6))</f>
        <v>82.661616268257603</v>
      </c>
      <c r="AF11">
        <f>SUMPRODUCT(AC11:$AC$18,F10:$F$17)</f>
        <v>-29106.772362416272</v>
      </c>
      <c r="AG11">
        <f>SUMPRODUCT(AD11:$AD$18,F11:$F$18)</f>
        <v>485.55751484755672</v>
      </c>
    </row>
    <row r="12" spans="1:33" x14ac:dyDescent="0.35">
      <c r="D12">
        <f t="shared" si="3"/>
        <v>4</v>
      </c>
      <c r="E12">
        <f t="shared" si="0"/>
        <v>34</v>
      </c>
      <c r="F12">
        <f t="shared" si="1"/>
        <v>0.82270247479188197</v>
      </c>
      <c r="H12">
        <f t="shared" si="2"/>
        <v>8.0800000000000002E-4</v>
      </c>
      <c r="I12">
        <f t="shared" si="4"/>
        <v>0.99669610104647222</v>
      </c>
      <c r="J12">
        <f t="shared" si="5"/>
        <v>8.0598168284528855E-4</v>
      </c>
      <c r="K12">
        <f t="shared" si="6"/>
        <v>0</v>
      </c>
      <c r="O12">
        <f t="shared" si="7"/>
        <v>5000</v>
      </c>
      <c r="P12">
        <f t="shared" si="8"/>
        <v>250</v>
      </c>
      <c r="Q12">
        <f t="shared" si="9"/>
        <v>250</v>
      </c>
      <c r="R12" s="1">
        <f t="shared" si="10"/>
        <v>100000</v>
      </c>
      <c r="S12">
        <v>0</v>
      </c>
      <c r="T12">
        <v>0</v>
      </c>
      <c r="V12">
        <f t="shared" si="11"/>
        <v>4987.5104136465879</v>
      </c>
      <c r="W12">
        <f t="shared" si="12"/>
        <v>249.37552068232938</v>
      </c>
      <c r="X12">
        <f t="shared" si="13"/>
        <v>0.99501040504932614</v>
      </c>
      <c r="Y12">
        <f t="shared" si="14"/>
        <v>80.598168284528853</v>
      </c>
      <c r="Z12">
        <v>0</v>
      </c>
      <c r="AA12">
        <v>0</v>
      </c>
      <c r="AC12" cm="1">
        <f t="array" ref="AC12">SUMPRODUCT(($V$8:$AA$8=$AC$7)*
($V12:$AA12)*
($V$6:$AA$6))</f>
        <v>-4737.1398825592087</v>
      </c>
      <c r="AD12" cm="1">
        <f t="array" ref="AD12">SUMPRODUCT(($V$8:$AA$8=$AD$7)*
($V12:$AA12)*
($V$6:$AA$6))</f>
        <v>80.598168284528853</v>
      </c>
      <c r="AF12">
        <f>SUMPRODUCT(AC12:$AC$18,F11:$F$17)</f>
        <v>-24806.4869569324</v>
      </c>
      <c r="AG12">
        <f>SUMPRODUCT(AD12:$AD$18,F12:$F$18)</f>
        <v>414.15130275965464</v>
      </c>
    </row>
    <row r="13" spans="1:33" x14ac:dyDescent="0.35">
      <c r="D13">
        <f t="shared" si="3"/>
        <v>5</v>
      </c>
      <c r="E13">
        <f t="shared" si="0"/>
        <v>35</v>
      </c>
      <c r="F13">
        <f t="shared" si="1"/>
        <v>0.78352616646845896</v>
      </c>
      <c r="H13">
        <f t="shared" si="2"/>
        <v>7.8899999999999999E-4</v>
      </c>
      <c r="I13">
        <f t="shared" si="4"/>
        <v>0.99590970782274657</v>
      </c>
      <c r="J13">
        <f t="shared" si="5"/>
        <v>7.863932237256666E-4</v>
      </c>
      <c r="K13">
        <f t="shared" si="6"/>
        <v>0</v>
      </c>
      <c r="O13">
        <f t="shared" si="7"/>
        <v>5000</v>
      </c>
      <c r="P13">
        <f t="shared" si="8"/>
        <v>250</v>
      </c>
      <c r="Q13">
        <f t="shared" si="9"/>
        <v>250</v>
      </c>
      <c r="R13" s="1">
        <f t="shared" si="10"/>
        <v>100000</v>
      </c>
      <c r="S13">
        <v>0</v>
      </c>
      <c r="T13">
        <v>0</v>
      </c>
      <c r="V13">
        <f t="shared" si="11"/>
        <v>4983.4805052323609</v>
      </c>
      <c r="W13">
        <f t="shared" si="12"/>
        <v>249.17402526161806</v>
      </c>
      <c r="X13">
        <f t="shared" si="13"/>
        <v>0.99340311784123958</v>
      </c>
      <c r="Y13">
        <f t="shared" si="14"/>
        <v>78.639322372566667</v>
      </c>
      <c r="Z13">
        <v>0</v>
      </c>
      <c r="AA13">
        <v>0</v>
      </c>
      <c r="AC13" cm="1">
        <f t="array" ref="AC13">SUMPRODUCT(($V$8:$AA$8=$AC$7)*
($V13:$AA13)*
($V$6:$AA$6))</f>
        <v>-4733.3130768529018</v>
      </c>
      <c r="AD13" cm="1">
        <f t="array" ref="AD13">SUMPRODUCT(($V$8:$AA$8=$AD$7)*
($V13:$AA13)*
($V$6:$AA$6))</f>
        <v>78.639322372566667</v>
      </c>
      <c r="AF13">
        <f>SUMPRODUCT(AC13:$AC$18,F12:$F$17)</f>
        <v>-20714.367416874778</v>
      </c>
      <c r="AG13">
        <f>SUMPRODUCT(AD13:$AD$18,F13:$F$18)</f>
        <v>347.84299024828022</v>
      </c>
    </row>
    <row r="14" spans="1:33" x14ac:dyDescent="0.35">
      <c r="D14">
        <f t="shared" si="3"/>
        <v>6</v>
      </c>
      <c r="E14">
        <f t="shared" si="0"/>
        <v>36</v>
      </c>
      <c r="F14">
        <f t="shared" si="1"/>
        <v>0.74621539663662761</v>
      </c>
      <c r="H14">
        <f t="shared" si="2"/>
        <v>7.8299999999999995E-4</v>
      </c>
      <c r="I14">
        <f t="shared" si="4"/>
        <v>0.99512991052152133</v>
      </c>
      <c r="J14">
        <f t="shared" si="5"/>
        <v>7.7979730122521051E-4</v>
      </c>
      <c r="K14">
        <f t="shared" si="6"/>
        <v>0</v>
      </c>
      <c r="O14">
        <f t="shared" si="7"/>
        <v>5000</v>
      </c>
      <c r="P14">
        <f t="shared" si="8"/>
        <v>250</v>
      </c>
      <c r="Q14">
        <f t="shared" si="9"/>
        <v>250</v>
      </c>
      <c r="R14" s="1">
        <f t="shared" si="10"/>
        <v>100000</v>
      </c>
      <c r="S14">
        <v>0</v>
      </c>
      <c r="T14">
        <v>0</v>
      </c>
      <c r="V14">
        <f t="shared" si="11"/>
        <v>4979.5485391137327</v>
      </c>
      <c r="W14">
        <f t="shared" si="12"/>
        <v>248.97742695568664</v>
      </c>
      <c r="X14">
        <f t="shared" si="13"/>
        <v>0.99183614613558846</v>
      </c>
      <c r="Y14">
        <f t="shared" si="14"/>
        <v>77.979730122521048</v>
      </c>
      <c r="Z14">
        <v>0</v>
      </c>
      <c r="AA14">
        <v>0</v>
      </c>
      <c r="AC14" cm="1">
        <f t="array" ref="AC14">SUMPRODUCT(($V$8:$AA$8=$AC$7)*
($V14:$AA14)*
($V$6:$AA$6))</f>
        <v>-4729.5792760119102</v>
      </c>
      <c r="AD14" cm="1">
        <f t="array" ref="AD14">SUMPRODUCT(($V$8:$AA$8=$AD$7)*
($V14:$AA14)*
($V$6:$AA$6))</f>
        <v>77.979730122521048</v>
      </c>
      <c r="AF14">
        <f>SUMPRODUCT(AC14:$AC$18,F13:$F$17)</f>
        <v>-16820.259034583116</v>
      </c>
      <c r="AG14">
        <f>SUMPRODUCT(AD14:$AD$18,F14:$F$18)</f>
        <v>286.22702345602579</v>
      </c>
    </row>
    <row r="15" spans="1:33" x14ac:dyDescent="0.35">
      <c r="D15">
        <f t="shared" si="3"/>
        <v>7</v>
      </c>
      <c r="E15">
        <f t="shared" si="0"/>
        <v>37</v>
      </c>
      <c r="F15">
        <f t="shared" si="1"/>
        <v>0.71068133013012147</v>
      </c>
      <c r="H15">
        <f t="shared" si="2"/>
        <v>8.0000000000000004E-4</v>
      </c>
      <c r="I15">
        <f t="shared" si="4"/>
        <v>0.99433380659310411</v>
      </c>
      <c r="J15">
        <f t="shared" si="5"/>
        <v>7.9610392841721707E-4</v>
      </c>
      <c r="K15">
        <f t="shared" si="6"/>
        <v>0</v>
      </c>
      <c r="O15">
        <f t="shared" si="7"/>
        <v>5000</v>
      </c>
      <c r="P15">
        <f t="shared" si="8"/>
        <v>250</v>
      </c>
      <c r="Q15">
        <f t="shared" si="9"/>
        <v>250</v>
      </c>
      <c r="R15" s="1">
        <f t="shared" si="10"/>
        <v>100000</v>
      </c>
      <c r="S15">
        <v>0</v>
      </c>
      <c r="T15">
        <v>0</v>
      </c>
      <c r="V15">
        <f t="shared" si="11"/>
        <v>4975.6495526076069</v>
      </c>
      <c r="W15">
        <f t="shared" si="12"/>
        <v>248.78247763038033</v>
      </c>
      <c r="X15">
        <f t="shared" si="13"/>
        <v>0.9902835388145711</v>
      </c>
      <c r="Y15">
        <f t="shared" si="14"/>
        <v>79.610392841721705</v>
      </c>
      <c r="Z15">
        <v>0</v>
      </c>
      <c r="AA15">
        <v>0</v>
      </c>
      <c r="AC15" cm="1">
        <f t="array" ref="AC15">SUMPRODUCT(($V$8:$AA$8=$AC$7)*
($V15:$AA15)*
($V$6:$AA$6))</f>
        <v>-4725.8767914384116</v>
      </c>
      <c r="AD15" cm="1">
        <f t="array" ref="AD15">SUMPRODUCT(($V$8:$AA$8=$AD$7)*
($V15:$AA15)*
($V$6:$AA$6))</f>
        <v>79.610392841721705</v>
      </c>
      <c r="AF15">
        <f>SUMPRODUCT(AC15:$AC$18,F14:$F$17)</f>
        <v>-13114.509915440836</v>
      </c>
      <c r="AG15">
        <f>SUMPRODUCT(AD15:$AD$18,F15:$F$18)</f>
        <v>228.03734821303152</v>
      </c>
    </row>
    <row r="16" spans="1:33" x14ac:dyDescent="0.35">
      <c r="D16">
        <f t="shared" si="3"/>
        <v>8</v>
      </c>
      <c r="E16">
        <f t="shared" si="0"/>
        <v>38</v>
      </c>
      <c r="F16">
        <f t="shared" si="1"/>
        <v>0.67683936202868722</v>
      </c>
      <c r="H16">
        <f t="shared" si="2"/>
        <v>8.3699999999999996E-4</v>
      </c>
      <c r="I16">
        <f t="shared" si="4"/>
        <v>0.99350154919698563</v>
      </c>
      <c r="J16">
        <f t="shared" si="5"/>
        <v>8.3225739611842808E-4</v>
      </c>
      <c r="K16">
        <f t="shared" si="6"/>
        <v>0</v>
      </c>
      <c r="O16">
        <f t="shared" si="7"/>
        <v>5000</v>
      </c>
      <c r="P16">
        <f t="shared" si="8"/>
        <v>250</v>
      </c>
      <c r="Q16">
        <f t="shared" si="9"/>
        <v>250</v>
      </c>
      <c r="R16" s="1">
        <f t="shared" si="10"/>
        <v>100000</v>
      </c>
      <c r="S16">
        <v>0</v>
      </c>
      <c r="T16">
        <v>0</v>
      </c>
      <c r="V16">
        <f t="shared" si="11"/>
        <v>4971.6690329655203</v>
      </c>
      <c r="W16">
        <f t="shared" si="12"/>
        <v>248.58345164827603</v>
      </c>
      <c r="X16">
        <f t="shared" si="13"/>
        <v>0.9886997189339326</v>
      </c>
      <c r="Y16">
        <f t="shared" si="14"/>
        <v>83.225739611842812</v>
      </c>
      <c r="Z16">
        <v>0</v>
      </c>
      <c r="AA16">
        <v>0</v>
      </c>
      <c r="AC16" cm="1">
        <f t="array" ref="AC16">SUMPRODUCT(($V$8:$AA$8=$AC$7)*
($V16:$AA16)*
($V$6:$AA$6))</f>
        <v>-4722.0968815983097</v>
      </c>
      <c r="AD16" cm="1">
        <f t="array" ref="AD16">SUMPRODUCT(($V$8:$AA$8=$AD$7)*
($V16:$AA16)*
($V$6:$AA$6))</f>
        <v>83.225739611842812</v>
      </c>
      <c r="AF16">
        <f>SUMPRODUCT(AC16:$AC$18,F15:$F$17)</f>
        <v>-9587.9878910617899</v>
      </c>
      <c r="AG16">
        <f>SUMPRODUCT(AD16:$AD$18,F16:$F$18)</f>
        <v>171.45972833609528</v>
      </c>
    </row>
    <row r="17" spans="4:33" x14ac:dyDescent="0.35">
      <c r="D17">
        <f t="shared" si="3"/>
        <v>9</v>
      </c>
      <c r="E17">
        <f t="shared" si="0"/>
        <v>39</v>
      </c>
      <c r="F17">
        <f t="shared" si="1"/>
        <v>0.64460891621779726</v>
      </c>
      <c r="H17">
        <f t="shared" si="2"/>
        <v>8.8900000000000003E-4</v>
      </c>
      <c r="I17">
        <f t="shared" si="4"/>
        <v>0.99261832631974956</v>
      </c>
      <c r="J17">
        <f t="shared" si="5"/>
        <v>8.8322287723612025E-4</v>
      </c>
      <c r="K17">
        <f t="shared" si="6"/>
        <v>0</v>
      </c>
      <c r="O17">
        <f t="shared" si="7"/>
        <v>5000</v>
      </c>
      <c r="P17">
        <f t="shared" si="8"/>
        <v>250</v>
      </c>
      <c r="Q17">
        <f t="shared" si="9"/>
        <v>250</v>
      </c>
      <c r="R17" s="1">
        <f t="shared" si="10"/>
        <v>100000</v>
      </c>
      <c r="S17">
        <v>0</v>
      </c>
      <c r="T17">
        <v>0</v>
      </c>
      <c r="V17">
        <f t="shared" si="11"/>
        <v>4967.5077459849281</v>
      </c>
      <c r="W17">
        <f t="shared" si="12"/>
        <v>248.3753872992464</v>
      </c>
      <c r="X17">
        <f t="shared" si="13"/>
        <v>0.98704532825681046</v>
      </c>
      <c r="Y17">
        <f t="shared" si="14"/>
        <v>88.322287723612021</v>
      </c>
      <c r="Z17">
        <v>0</v>
      </c>
      <c r="AA17">
        <v>0</v>
      </c>
      <c r="AC17" cm="1">
        <f t="array" ref="AC17">SUMPRODUCT(($V$8:$AA$8=$AC$7)*
($V17:$AA17)*
($V$6:$AA$6))</f>
        <v>-4718.145313357425</v>
      </c>
      <c r="AD17" cm="1">
        <f t="array" ref="AD17">SUMPRODUCT(($V$8:$AA$8=$AD$7)*
($V17:$AA17)*
($V$6:$AA$6))</f>
        <v>88.322287723612021</v>
      </c>
      <c r="AF17">
        <f>SUMPRODUCT(AC17:$AC$18,F16:$F$17)</f>
        <v>-6232.081798244204</v>
      </c>
      <c r="AG17">
        <f>SUMPRODUCT(AD17:$AD$18,F17:$F$18)</f>
        <v>115.12927183284992</v>
      </c>
    </row>
    <row r="18" spans="4:33" x14ac:dyDescent="0.35">
      <c r="D18">
        <f t="shared" si="3"/>
        <v>10</v>
      </c>
      <c r="E18">
        <f t="shared" si="0"/>
        <v>40</v>
      </c>
      <c r="F18">
        <f t="shared" si="1"/>
        <v>0.61391325354075932</v>
      </c>
      <c r="H18">
        <f t="shared" si="2"/>
        <v>9.5500000000000001E-4</v>
      </c>
      <c r="I18">
        <f t="shared" si="4"/>
        <v>0.99167037581811424</v>
      </c>
      <c r="J18">
        <f t="shared" si="5"/>
        <v>9.4795050163536088E-4</v>
      </c>
      <c r="K18">
        <f t="shared" si="6"/>
        <v>0</v>
      </c>
      <c r="O18">
        <f t="shared" si="7"/>
        <v>5000</v>
      </c>
      <c r="P18">
        <f t="shared" si="8"/>
        <v>250</v>
      </c>
      <c r="Q18">
        <f t="shared" si="9"/>
        <v>250</v>
      </c>
      <c r="R18" s="1">
        <f t="shared" si="10"/>
        <v>100000</v>
      </c>
      <c r="S18">
        <v>0</v>
      </c>
      <c r="T18">
        <v>0</v>
      </c>
      <c r="V18">
        <f t="shared" si="11"/>
        <v>4963.0916315987479</v>
      </c>
      <c r="W18">
        <f t="shared" si="12"/>
        <v>248.1545815799374</v>
      </c>
      <c r="X18">
        <f t="shared" si="13"/>
        <v>0.98529114174582078</v>
      </c>
      <c r="Y18">
        <f t="shared" si="14"/>
        <v>94.795050163536089</v>
      </c>
      <c r="Z18">
        <v>0</v>
      </c>
      <c r="AA18">
        <v>0</v>
      </c>
      <c r="AC18" cm="1">
        <f t="array" ref="AC18">SUMPRODUCT(($V$8:$AA$8=$AC$7)*
($V18:$AA18)*
($V$6:$AA$6))</f>
        <v>-4713.951758877065</v>
      </c>
      <c r="AD18" cm="1">
        <f t="array" ref="AD18">SUMPRODUCT(($V$8:$AA$8=$AD$7)*
($V18:$AA18)*
($V$6:$AA$6))</f>
        <v>94.795050163536089</v>
      </c>
      <c r="AF18">
        <f>SUMPRODUCT(AC18:$AC$18,F17:$F$17)</f>
        <v>-3038.6553343927239</v>
      </c>
      <c r="AG18">
        <f>SUMPRODUCT(AD18:$AD$18,F18:$F$18)</f>
        <v>58.195937665455929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24C27-30F4-4F85-8851-1BF9B6B865D1}">
  <dimension ref="H1:I122"/>
  <sheetViews>
    <sheetView showGridLines="0" workbookViewId="0">
      <selection activeCell="H1" sqref="H1:I11"/>
    </sheetView>
  </sheetViews>
  <sheetFormatPr defaultRowHeight="15.5" x14ac:dyDescent="0.35"/>
  <sheetData>
    <row r="1" spans="8:9" x14ac:dyDescent="0.35">
      <c r="H1" t="s">
        <v>28</v>
      </c>
      <c r="I1" t="s">
        <v>31</v>
      </c>
    </row>
    <row r="2" spans="8:9" x14ac:dyDescent="0.35">
      <c r="H2">
        <v>0</v>
      </c>
      <c r="I2">
        <v>1.7830000000000001E-3</v>
      </c>
    </row>
    <row r="3" spans="8:9" x14ac:dyDescent="0.35">
      <c r="H3">
        <v>1</v>
      </c>
      <c r="I3">
        <v>4.46E-4</v>
      </c>
    </row>
    <row r="4" spans="8:9" x14ac:dyDescent="0.35">
      <c r="H4">
        <v>2</v>
      </c>
      <c r="I4">
        <v>3.0600000000000001E-4</v>
      </c>
    </row>
    <row r="5" spans="8:9" x14ac:dyDescent="0.35">
      <c r="H5">
        <v>3</v>
      </c>
      <c r="I5">
        <v>2.5399999999999999E-4</v>
      </c>
    </row>
    <row r="6" spans="8:9" x14ac:dyDescent="0.35">
      <c r="H6">
        <v>4</v>
      </c>
      <c r="I6">
        <v>1.93E-4</v>
      </c>
    </row>
    <row r="7" spans="8:9" x14ac:dyDescent="0.35">
      <c r="H7">
        <v>5</v>
      </c>
      <c r="I7">
        <v>1.8599999999999999E-4</v>
      </c>
    </row>
    <row r="8" spans="8:9" x14ac:dyDescent="0.35">
      <c r="H8">
        <v>6</v>
      </c>
      <c r="I8">
        <v>1.84E-4</v>
      </c>
    </row>
    <row r="9" spans="8:9" x14ac:dyDescent="0.35">
      <c r="H9">
        <v>7</v>
      </c>
      <c r="I9">
        <v>1.7699999999999999E-4</v>
      </c>
    </row>
    <row r="10" spans="8:9" x14ac:dyDescent="0.35">
      <c r="H10">
        <v>8</v>
      </c>
      <c r="I10">
        <v>1.5899999999999999E-4</v>
      </c>
    </row>
    <row r="11" spans="8:9" x14ac:dyDescent="0.35">
      <c r="H11">
        <v>9</v>
      </c>
      <c r="I11">
        <v>1.4300000000000001E-4</v>
      </c>
    </row>
    <row r="12" spans="8:9" x14ac:dyDescent="0.35">
      <c r="H12">
        <v>10</v>
      </c>
      <c r="I12">
        <v>1.26E-4</v>
      </c>
    </row>
    <row r="13" spans="8:9" x14ac:dyDescent="0.35">
      <c r="H13">
        <v>11</v>
      </c>
      <c r="I13">
        <v>1.2300000000000001E-4</v>
      </c>
    </row>
    <row r="14" spans="8:9" x14ac:dyDescent="0.35">
      <c r="H14">
        <v>12</v>
      </c>
      <c r="I14">
        <v>1.47E-4</v>
      </c>
    </row>
    <row r="15" spans="8:9" x14ac:dyDescent="0.35">
      <c r="H15">
        <v>13</v>
      </c>
      <c r="I15">
        <v>1.8799999999999999E-4</v>
      </c>
    </row>
    <row r="16" spans="8:9" x14ac:dyDescent="0.35">
      <c r="H16">
        <v>14</v>
      </c>
      <c r="I16">
        <v>2.3599999999999999E-4</v>
      </c>
    </row>
    <row r="17" spans="8:9" x14ac:dyDescent="0.35">
      <c r="H17">
        <v>15</v>
      </c>
      <c r="I17">
        <v>2.8200000000000002E-4</v>
      </c>
    </row>
    <row r="18" spans="8:9" x14ac:dyDescent="0.35">
      <c r="H18">
        <v>16</v>
      </c>
      <c r="I18">
        <v>3.2499999999999999E-4</v>
      </c>
    </row>
    <row r="19" spans="8:9" x14ac:dyDescent="0.35">
      <c r="H19">
        <v>17</v>
      </c>
      <c r="I19">
        <v>3.6400000000000001E-4</v>
      </c>
    </row>
    <row r="20" spans="8:9" x14ac:dyDescent="0.35">
      <c r="H20">
        <v>18</v>
      </c>
      <c r="I20">
        <v>3.9899999999999999E-4</v>
      </c>
    </row>
    <row r="21" spans="8:9" x14ac:dyDescent="0.35">
      <c r="H21">
        <v>19</v>
      </c>
      <c r="I21">
        <v>4.2999999999999999E-4</v>
      </c>
    </row>
    <row r="22" spans="8:9" x14ac:dyDescent="0.35">
      <c r="H22">
        <v>20</v>
      </c>
      <c r="I22">
        <v>4.5899999999999999E-4</v>
      </c>
    </row>
    <row r="23" spans="8:9" x14ac:dyDescent="0.35">
      <c r="H23">
        <v>21</v>
      </c>
      <c r="I23">
        <v>4.9200000000000003E-4</v>
      </c>
    </row>
    <row r="24" spans="8:9" x14ac:dyDescent="0.35">
      <c r="H24">
        <v>22</v>
      </c>
      <c r="I24">
        <v>5.2599999999999999E-4</v>
      </c>
    </row>
    <row r="25" spans="8:9" x14ac:dyDescent="0.35">
      <c r="H25">
        <v>23</v>
      </c>
      <c r="I25">
        <v>5.6899999999999995E-4</v>
      </c>
    </row>
    <row r="26" spans="8:9" x14ac:dyDescent="0.35">
      <c r="H26">
        <v>24</v>
      </c>
      <c r="I26">
        <v>6.1600000000000001E-4</v>
      </c>
    </row>
    <row r="27" spans="8:9" x14ac:dyDescent="0.35">
      <c r="H27">
        <v>25</v>
      </c>
      <c r="I27">
        <v>6.69E-4</v>
      </c>
    </row>
    <row r="28" spans="8:9" x14ac:dyDescent="0.35">
      <c r="H28">
        <v>26</v>
      </c>
      <c r="I28">
        <v>7.2800000000000002E-4</v>
      </c>
    </row>
    <row r="29" spans="8:9" x14ac:dyDescent="0.35">
      <c r="H29">
        <v>27</v>
      </c>
      <c r="I29">
        <v>7.6400000000000003E-4</v>
      </c>
    </row>
    <row r="30" spans="8:9" x14ac:dyDescent="0.35">
      <c r="H30">
        <v>28</v>
      </c>
      <c r="I30">
        <v>7.8899999999999999E-4</v>
      </c>
    </row>
    <row r="31" spans="8:9" x14ac:dyDescent="0.35">
      <c r="H31">
        <v>29</v>
      </c>
      <c r="I31">
        <v>8.0800000000000002E-4</v>
      </c>
    </row>
    <row r="32" spans="8:9" x14ac:dyDescent="0.35">
      <c r="H32">
        <v>30</v>
      </c>
      <c r="I32">
        <v>8.2399999999999997E-4</v>
      </c>
    </row>
    <row r="33" spans="8:9" x14ac:dyDescent="0.35">
      <c r="H33">
        <v>31</v>
      </c>
      <c r="I33">
        <v>8.34E-4</v>
      </c>
    </row>
    <row r="34" spans="8:9" x14ac:dyDescent="0.35">
      <c r="H34">
        <v>32</v>
      </c>
      <c r="I34">
        <v>8.3799999999999999E-4</v>
      </c>
    </row>
    <row r="35" spans="8:9" x14ac:dyDescent="0.35">
      <c r="H35">
        <v>33</v>
      </c>
      <c r="I35">
        <v>8.2799999999999996E-4</v>
      </c>
    </row>
    <row r="36" spans="8:9" x14ac:dyDescent="0.35">
      <c r="H36">
        <v>34</v>
      </c>
      <c r="I36">
        <v>8.0800000000000002E-4</v>
      </c>
    </row>
    <row r="37" spans="8:9" x14ac:dyDescent="0.35">
      <c r="H37">
        <v>35</v>
      </c>
      <c r="I37">
        <v>7.8899999999999999E-4</v>
      </c>
    </row>
    <row r="38" spans="8:9" x14ac:dyDescent="0.35">
      <c r="H38">
        <v>36</v>
      </c>
      <c r="I38">
        <v>7.8299999999999995E-4</v>
      </c>
    </row>
    <row r="39" spans="8:9" x14ac:dyDescent="0.35">
      <c r="H39">
        <v>37</v>
      </c>
      <c r="I39">
        <v>8.0000000000000004E-4</v>
      </c>
    </row>
    <row r="40" spans="8:9" x14ac:dyDescent="0.35">
      <c r="H40">
        <v>38</v>
      </c>
      <c r="I40">
        <v>8.3699999999999996E-4</v>
      </c>
    </row>
    <row r="41" spans="8:9" x14ac:dyDescent="0.35">
      <c r="H41">
        <v>39</v>
      </c>
      <c r="I41">
        <v>8.8900000000000003E-4</v>
      </c>
    </row>
    <row r="42" spans="8:9" x14ac:dyDescent="0.35">
      <c r="H42">
        <v>40</v>
      </c>
      <c r="I42">
        <v>9.5500000000000001E-4</v>
      </c>
    </row>
    <row r="43" spans="8:9" x14ac:dyDescent="0.35">
      <c r="H43">
        <v>41</v>
      </c>
      <c r="I43">
        <v>1.029E-3</v>
      </c>
    </row>
    <row r="44" spans="8:9" x14ac:dyDescent="0.35">
      <c r="H44">
        <v>42</v>
      </c>
      <c r="I44">
        <v>1.1100000000000001E-3</v>
      </c>
    </row>
    <row r="45" spans="8:9" x14ac:dyDescent="0.35">
      <c r="H45">
        <v>43</v>
      </c>
      <c r="I45">
        <v>1.188E-3</v>
      </c>
    </row>
    <row r="46" spans="8:9" x14ac:dyDescent="0.35">
      <c r="H46">
        <v>44</v>
      </c>
      <c r="I46">
        <v>1.268E-3</v>
      </c>
    </row>
    <row r="47" spans="8:9" x14ac:dyDescent="0.35">
      <c r="H47">
        <v>45</v>
      </c>
      <c r="I47">
        <v>1.3550000000000001E-3</v>
      </c>
    </row>
    <row r="48" spans="8:9" x14ac:dyDescent="0.35">
      <c r="H48">
        <v>46</v>
      </c>
      <c r="I48">
        <v>1.464E-3</v>
      </c>
    </row>
    <row r="49" spans="8:9" x14ac:dyDescent="0.35">
      <c r="H49">
        <v>47</v>
      </c>
      <c r="I49">
        <v>1.6149999999999999E-3</v>
      </c>
    </row>
    <row r="50" spans="8:9" x14ac:dyDescent="0.35">
      <c r="H50">
        <v>48</v>
      </c>
      <c r="I50">
        <v>1.8079999999999999E-3</v>
      </c>
    </row>
    <row r="51" spans="8:9" x14ac:dyDescent="0.35">
      <c r="H51">
        <v>49</v>
      </c>
      <c r="I51">
        <v>2.032E-3</v>
      </c>
    </row>
    <row r="52" spans="8:9" x14ac:dyDescent="0.35">
      <c r="H52">
        <v>50</v>
      </c>
      <c r="I52">
        <v>2.2850000000000001E-3</v>
      </c>
    </row>
    <row r="53" spans="8:9" x14ac:dyDescent="0.35">
      <c r="H53">
        <v>51</v>
      </c>
      <c r="I53">
        <v>2.5569999999999998E-3</v>
      </c>
    </row>
    <row r="54" spans="8:9" x14ac:dyDescent="0.35">
      <c r="H54">
        <v>52</v>
      </c>
      <c r="I54">
        <v>2.8279999999999998E-3</v>
      </c>
    </row>
    <row r="55" spans="8:9" x14ac:dyDescent="0.35">
      <c r="H55">
        <v>53</v>
      </c>
      <c r="I55">
        <v>3.088E-3</v>
      </c>
    </row>
    <row r="56" spans="8:9" x14ac:dyDescent="0.35">
      <c r="H56">
        <v>54</v>
      </c>
      <c r="I56">
        <v>3.3449999999999999E-3</v>
      </c>
    </row>
    <row r="57" spans="8:9" x14ac:dyDescent="0.35">
      <c r="H57">
        <v>55</v>
      </c>
      <c r="I57">
        <v>3.6159999999999999E-3</v>
      </c>
    </row>
    <row r="58" spans="8:9" x14ac:dyDescent="0.35">
      <c r="H58">
        <v>56</v>
      </c>
      <c r="I58">
        <v>3.9220000000000001E-3</v>
      </c>
    </row>
    <row r="59" spans="8:9" x14ac:dyDescent="0.35">
      <c r="H59">
        <v>57</v>
      </c>
      <c r="I59">
        <v>4.2719999999999998E-3</v>
      </c>
    </row>
    <row r="60" spans="8:9" x14ac:dyDescent="0.35">
      <c r="H60">
        <v>58</v>
      </c>
      <c r="I60">
        <v>4.6810000000000003E-3</v>
      </c>
    </row>
    <row r="61" spans="8:9" x14ac:dyDescent="0.35">
      <c r="H61">
        <v>59</v>
      </c>
      <c r="I61">
        <v>5.1460000000000004E-3</v>
      </c>
    </row>
    <row r="62" spans="8:9" x14ac:dyDescent="0.35">
      <c r="H62">
        <v>60</v>
      </c>
      <c r="I62">
        <v>5.6620000000000004E-3</v>
      </c>
    </row>
    <row r="63" spans="8:9" x14ac:dyDescent="0.35">
      <c r="H63">
        <v>61</v>
      </c>
      <c r="I63">
        <v>6.2370000000000004E-3</v>
      </c>
    </row>
    <row r="64" spans="8:9" x14ac:dyDescent="0.35">
      <c r="H64">
        <v>62</v>
      </c>
      <c r="I64">
        <v>6.8539999999999998E-3</v>
      </c>
    </row>
    <row r="65" spans="8:9" x14ac:dyDescent="0.35">
      <c r="H65">
        <v>63</v>
      </c>
      <c r="I65">
        <v>7.5100000000000002E-3</v>
      </c>
    </row>
    <row r="66" spans="8:9" x14ac:dyDescent="0.35">
      <c r="H66">
        <v>64</v>
      </c>
      <c r="I66">
        <v>8.2199999999999999E-3</v>
      </c>
    </row>
    <row r="67" spans="8:9" x14ac:dyDescent="0.35">
      <c r="H67">
        <v>65</v>
      </c>
      <c r="I67">
        <v>9.0069999999999994E-3</v>
      </c>
    </row>
    <row r="68" spans="8:9" x14ac:dyDescent="0.35">
      <c r="H68">
        <v>66</v>
      </c>
      <c r="I68">
        <v>9.4970000000000002E-3</v>
      </c>
    </row>
    <row r="69" spans="8:9" x14ac:dyDescent="0.35">
      <c r="H69">
        <v>67</v>
      </c>
      <c r="I69">
        <v>1.0085E-2</v>
      </c>
    </row>
    <row r="70" spans="8:9" x14ac:dyDescent="0.35">
      <c r="H70">
        <v>68</v>
      </c>
      <c r="I70">
        <v>1.0787E-2</v>
      </c>
    </row>
    <row r="71" spans="8:9" x14ac:dyDescent="0.35">
      <c r="H71">
        <v>69</v>
      </c>
      <c r="I71">
        <v>1.1625E-2</v>
      </c>
    </row>
    <row r="72" spans="8:9" x14ac:dyDescent="0.35">
      <c r="H72">
        <v>70</v>
      </c>
      <c r="I72">
        <v>1.2619E-2</v>
      </c>
    </row>
    <row r="73" spans="8:9" x14ac:dyDescent="0.35">
      <c r="H73">
        <v>71</v>
      </c>
      <c r="I73">
        <v>1.3798E-2</v>
      </c>
    </row>
    <row r="74" spans="8:9" x14ac:dyDescent="0.35">
      <c r="H74">
        <v>72</v>
      </c>
      <c r="I74">
        <v>1.5195E-2</v>
      </c>
    </row>
    <row r="75" spans="8:9" x14ac:dyDescent="0.35">
      <c r="H75">
        <v>73</v>
      </c>
      <c r="I75">
        <v>1.6833999999999998E-2</v>
      </c>
    </row>
    <row r="76" spans="8:9" x14ac:dyDescent="0.35">
      <c r="H76">
        <v>74</v>
      </c>
      <c r="I76">
        <v>1.8733E-2</v>
      </c>
    </row>
    <row r="77" spans="8:9" x14ac:dyDescent="0.35">
      <c r="H77">
        <v>75</v>
      </c>
      <c r="I77">
        <v>2.0905E-2</v>
      </c>
    </row>
    <row r="78" spans="8:9" x14ac:dyDescent="0.35">
      <c r="H78">
        <v>76</v>
      </c>
      <c r="I78">
        <v>2.3366999999999999E-2</v>
      </c>
    </row>
    <row r="79" spans="8:9" x14ac:dyDescent="0.35">
      <c r="H79">
        <v>77</v>
      </c>
      <c r="I79">
        <v>2.6155000000000001E-2</v>
      </c>
    </row>
    <row r="80" spans="8:9" x14ac:dyDescent="0.35">
      <c r="H80">
        <v>78</v>
      </c>
      <c r="I80">
        <v>2.9305999999999999E-2</v>
      </c>
    </row>
    <row r="81" spans="8:9" x14ac:dyDescent="0.35">
      <c r="H81">
        <v>79</v>
      </c>
      <c r="I81">
        <v>3.2857999999999998E-2</v>
      </c>
    </row>
    <row r="82" spans="8:9" x14ac:dyDescent="0.35">
      <c r="H82">
        <v>80</v>
      </c>
      <c r="I82">
        <v>3.6927000000000001E-2</v>
      </c>
    </row>
    <row r="83" spans="8:9" x14ac:dyDescent="0.35">
      <c r="H83">
        <v>81</v>
      </c>
      <c r="I83">
        <v>4.1702999999999997E-2</v>
      </c>
    </row>
    <row r="84" spans="8:9" x14ac:dyDescent="0.35">
      <c r="H84">
        <v>82</v>
      </c>
      <c r="I84">
        <v>4.6956999999999999E-2</v>
      </c>
    </row>
    <row r="85" spans="8:9" x14ac:dyDescent="0.35">
      <c r="H85">
        <v>83</v>
      </c>
      <c r="I85">
        <v>5.2713000000000003E-2</v>
      </c>
    </row>
    <row r="86" spans="8:9" x14ac:dyDescent="0.35">
      <c r="H86">
        <v>84</v>
      </c>
      <c r="I86">
        <v>5.9147999999999999E-2</v>
      </c>
    </row>
    <row r="87" spans="8:9" x14ac:dyDescent="0.35">
      <c r="H87">
        <v>85</v>
      </c>
      <c r="I87">
        <v>6.6504999999999995E-2</v>
      </c>
    </row>
    <row r="88" spans="8:9" x14ac:dyDescent="0.35">
      <c r="H88">
        <v>86</v>
      </c>
      <c r="I88">
        <v>7.5014999999999998E-2</v>
      </c>
    </row>
    <row r="89" spans="8:9" x14ac:dyDescent="0.35">
      <c r="H89">
        <v>87</v>
      </c>
      <c r="I89">
        <v>8.4822999999999996E-2</v>
      </c>
    </row>
    <row r="90" spans="8:9" x14ac:dyDescent="0.35">
      <c r="H90">
        <v>88</v>
      </c>
      <c r="I90">
        <v>9.5987000000000003E-2</v>
      </c>
    </row>
    <row r="91" spans="8:9" x14ac:dyDescent="0.35">
      <c r="H91">
        <v>89</v>
      </c>
      <c r="I91">
        <v>0.108482</v>
      </c>
    </row>
    <row r="92" spans="8:9" x14ac:dyDescent="0.35">
      <c r="H92">
        <v>90</v>
      </c>
      <c r="I92">
        <v>0.122214</v>
      </c>
    </row>
    <row r="93" spans="8:9" x14ac:dyDescent="0.35">
      <c r="H93">
        <v>91</v>
      </c>
      <c r="I93">
        <v>0.136799</v>
      </c>
    </row>
    <row r="94" spans="8:9" x14ac:dyDescent="0.35">
      <c r="H94">
        <v>92</v>
      </c>
      <c r="I94">
        <v>0.15240899999999999</v>
      </c>
    </row>
    <row r="95" spans="8:9" x14ac:dyDescent="0.35">
      <c r="H95">
        <v>93</v>
      </c>
      <c r="I95">
        <v>0.16907800000000001</v>
      </c>
    </row>
    <row r="96" spans="8:9" x14ac:dyDescent="0.35">
      <c r="H96">
        <v>94</v>
      </c>
      <c r="I96">
        <v>0.18688199999999999</v>
      </c>
    </row>
    <row r="97" spans="8:9" x14ac:dyDescent="0.35">
      <c r="H97">
        <v>95</v>
      </c>
      <c r="I97">
        <v>0.205844</v>
      </c>
    </row>
    <row r="98" spans="8:9" x14ac:dyDescent="0.35">
      <c r="H98">
        <v>96</v>
      </c>
      <c r="I98">
        <v>0.219247</v>
      </c>
    </row>
    <row r="99" spans="8:9" x14ac:dyDescent="0.35">
      <c r="H99">
        <v>97</v>
      </c>
      <c r="I99">
        <v>0.23861199999999999</v>
      </c>
    </row>
    <row r="100" spans="8:9" x14ac:dyDescent="0.35">
      <c r="H100">
        <v>98</v>
      </c>
      <c r="I100">
        <v>0.25834099999999999</v>
      </c>
    </row>
    <row r="101" spans="8:9" x14ac:dyDescent="0.35">
      <c r="H101">
        <v>99</v>
      </c>
      <c r="I101">
        <v>0.27821899999999999</v>
      </c>
    </row>
    <row r="102" spans="8:9" x14ac:dyDescent="0.35">
      <c r="H102">
        <v>100</v>
      </c>
      <c r="I102">
        <v>0.298452</v>
      </c>
    </row>
    <row r="103" spans="8:9" x14ac:dyDescent="0.35">
      <c r="H103">
        <v>101</v>
      </c>
      <c r="I103">
        <v>0.32361000000000001</v>
      </c>
    </row>
    <row r="104" spans="8:9" x14ac:dyDescent="0.35">
      <c r="H104">
        <v>102</v>
      </c>
      <c r="I104">
        <v>0.34419100000000002</v>
      </c>
    </row>
    <row r="105" spans="8:9" x14ac:dyDescent="0.35">
      <c r="H105">
        <v>103</v>
      </c>
      <c r="I105">
        <v>0.36463299999999998</v>
      </c>
    </row>
    <row r="106" spans="8:9" x14ac:dyDescent="0.35">
      <c r="H106">
        <v>104</v>
      </c>
      <c r="I106">
        <v>0.38478299999999999</v>
      </c>
    </row>
    <row r="107" spans="8:9" x14ac:dyDescent="0.35">
      <c r="H107">
        <v>105</v>
      </c>
      <c r="I107">
        <v>0.4</v>
      </c>
    </row>
    <row r="108" spans="8:9" x14ac:dyDescent="0.35">
      <c r="H108">
        <v>106</v>
      </c>
      <c r="I108">
        <v>0.4</v>
      </c>
    </row>
    <row r="109" spans="8:9" x14ac:dyDescent="0.35">
      <c r="H109">
        <v>107</v>
      </c>
      <c r="I109">
        <v>0.4</v>
      </c>
    </row>
    <row r="110" spans="8:9" x14ac:dyDescent="0.35">
      <c r="H110">
        <v>108</v>
      </c>
      <c r="I110">
        <v>0.4</v>
      </c>
    </row>
    <row r="111" spans="8:9" x14ac:dyDescent="0.35">
      <c r="H111">
        <v>109</v>
      </c>
      <c r="I111">
        <v>0.4</v>
      </c>
    </row>
    <row r="112" spans="8:9" x14ac:dyDescent="0.35">
      <c r="H112">
        <v>110</v>
      </c>
      <c r="I112">
        <v>0.4</v>
      </c>
    </row>
    <row r="113" spans="8:9" x14ac:dyDescent="0.35">
      <c r="H113">
        <v>111</v>
      </c>
      <c r="I113">
        <v>0.4</v>
      </c>
    </row>
    <row r="114" spans="8:9" x14ac:dyDescent="0.35">
      <c r="H114">
        <v>112</v>
      </c>
      <c r="I114">
        <v>0.4</v>
      </c>
    </row>
    <row r="115" spans="8:9" x14ac:dyDescent="0.35">
      <c r="H115">
        <v>113</v>
      </c>
      <c r="I115">
        <v>0.4</v>
      </c>
    </row>
    <row r="116" spans="8:9" x14ac:dyDescent="0.35">
      <c r="H116">
        <v>114</v>
      </c>
      <c r="I116">
        <v>0.4</v>
      </c>
    </row>
    <row r="117" spans="8:9" x14ac:dyDescent="0.35">
      <c r="H117">
        <v>115</v>
      </c>
      <c r="I117">
        <v>0.4</v>
      </c>
    </row>
    <row r="118" spans="8:9" x14ac:dyDescent="0.35">
      <c r="H118">
        <v>116</v>
      </c>
      <c r="I118">
        <v>0.4</v>
      </c>
    </row>
    <row r="119" spans="8:9" x14ac:dyDescent="0.35">
      <c r="H119">
        <v>117</v>
      </c>
      <c r="I119">
        <v>0.4</v>
      </c>
    </row>
    <row r="120" spans="8:9" x14ac:dyDescent="0.35">
      <c r="H120">
        <v>118</v>
      </c>
      <c r="I120">
        <v>0.4</v>
      </c>
    </row>
    <row r="121" spans="8:9" x14ac:dyDescent="0.35">
      <c r="H121">
        <v>119</v>
      </c>
      <c r="I121">
        <v>0.4</v>
      </c>
    </row>
    <row r="122" spans="8:9" x14ac:dyDescent="0.35">
      <c r="H122">
        <v>120</v>
      </c>
      <c r="I122">
        <v>0.4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Info</vt:lpstr>
      <vt:lpstr>Reserve Calculation 1</vt:lpstr>
      <vt:lpstr>Mortality Table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Shrestha</dc:creator>
  <cp:lastModifiedBy>Krishna Shrestha</cp:lastModifiedBy>
  <dcterms:created xsi:type="dcterms:W3CDTF">2025-04-15T18:24:52Z</dcterms:created>
  <dcterms:modified xsi:type="dcterms:W3CDTF">2025-04-16T16:17:59Z</dcterms:modified>
</cp:coreProperties>
</file>
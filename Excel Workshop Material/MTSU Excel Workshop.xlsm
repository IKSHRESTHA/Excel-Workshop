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Excel Workshop Material\"/>
    </mc:Choice>
  </mc:AlternateContent>
  <xr:revisionPtr revIDLastSave="0" documentId="13_ncr:1_{DCF7A3B1-DE73-4C6A-9D55-3A23E726664A}" xr6:coauthVersionLast="47" xr6:coauthVersionMax="47" xr10:uidLastSave="{00000000-0000-0000-0000-000000000000}"/>
  <bookViews>
    <workbookView xWindow="-110" yWindow="-110" windowWidth="19420" windowHeight="10300" xr2:uid="{D7C07F68-7F9D-4A10-88A5-F93CCCF143A5}"/>
  </bookViews>
  <sheets>
    <sheet name="🧾 About This Workbook" sheetId="9" r:id="rId1"/>
    <sheet name="🗂️ TOC" sheetId="1" state="veryHidden" r:id="rId2"/>
    <sheet name="1.1 If" sheetId="3" state="veryHidden" r:id="rId3"/>
    <sheet name="1.2 Sum if" sheetId="4" state="veryHidden" r:id="rId4"/>
    <sheet name="1.3 LookUps" sheetId="5" state="veryHidden" r:id="rId5"/>
    <sheet name="1.4 Date function" sheetId="7" state="veryHidden" r:id="rId6"/>
    <sheet name="1.5 Goal Seek" sheetId="8" state="veryHidden" r:id="rId7"/>
  </sheets>
  <definedNames>
    <definedName name="I">'1.5 Goal Seek'!$M$2</definedName>
    <definedName name="Increment">'1.5 Goal Seek'!$M$5</definedName>
    <definedName name="Principal">'1.5 Goal Seek'!$M$1</definedName>
    <definedName name="Repayment">'1.5 Goal Seek'!$M$4</definedName>
    <definedName name="Term">'1.5 Goal Seek'!$M$3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7" l="1"/>
  <c r="H7" i="7"/>
  <c r="H3" i="7"/>
  <c r="V9" i="8"/>
  <c r="V10" i="8"/>
  <c r="V11" i="8"/>
  <c r="V12" i="8"/>
  <c r="V13" i="8"/>
  <c r="V14" i="8"/>
  <c r="V15" i="8"/>
  <c r="V16" i="8"/>
  <c r="V17" i="8"/>
  <c r="V18" i="8"/>
  <c r="U9" i="8"/>
  <c r="T9" i="8"/>
  <c r="S10" i="8"/>
  <c r="S11" i="8"/>
  <c r="S12" i="8"/>
  <c r="S13" i="8"/>
  <c r="S14" i="8"/>
  <c r="S15" i="8"/>
  <c r="S16" i="8"/>
  <c r="S17" i="8"/>
  <c r="S18" i="8"/>
  <c r="S9" i="8"/>
  <c r="AB7" i="8"/>
  <c r="R10" i="8"/>
  <c r="R11" i="8" s="1"/>
  <c r="R12" i="8" s="1"/>
  <c r="R13" i="8" s="1"/>
  <c r="R14" i="8" s="1"/>
  <c r="R15" i="8" s="1"/>
  <c r="R16" i="8" s="1"/>
  <c r="R17" i="8" s="1"/>
  <c r="R18" i="8" s="1"/>
  <c r="A11" i="8"/>
  <c r="A12" i="8" s="1"/>
  <c r="A13" i="8" s="1"/>
  <c r="A14" i="8" s="1"/>
  <c r="A15" i="8" s="1"/>
  <c r="A16" i="8" s="1"/>
  <c r="A17" i="8" s="1"/>
  <c r="A18" i="8" s="1"/>
  <c r="A19" i="8" s="1"/>
  <c r="A3" i="5"/>
  <c r="B3" i="5" s="1"/>
  <c r="B2" i="5"/>
  <c r="S3" i="4"/>
  <c r="T3" i="4" s="1"/>
  <c r="U3" i="4" s="1"/>
  <c r="V3" i="4" s="1"/>
  <c r="Q5" i="4"/>
  <c r="Q6" i="4" s="1"/>
  <c r="Q7" i="4" s="1"/>
  <c r="Q8" i="4" s="1"/>
  <c r="N8" i="4"/>
  <c r="N4" i="4"/>
  <c r="N9" i="4" s="1"/>
  <c r="B2" i="4"/>
  <c r="A3" i="4"/>
  <c r="A4" i="4" s="1"/>
  <c r="A5" i="4" s="1"/>
  <c r="W9" i="8" l="1"/>
  <c r="T10" i="8" s="1"/>
  <c r="U10" i="8" s="1"/>
  <c r="A4" i="5"/>
  <c r="B4" i="5" s="1"/>
  <c r="B5" i="4"/>
  <c r="A6" i="4"/>
  <c r="B4" i="4"/>
  <c r="B3" i="4"/>
  <c r="N5" i="4"/>
  <c r="W10" i="8" l="1"/>
  <c r="A5" i="5"/>
  <c r="B5" i="5" s="1"/>
  <c r="N6" i="4"/>
  <c r="N10" i="4"/>
  <c r="B6" i="4"/>
  <c r="A7" i="4"/>
  <c r="T11" i="8" l="1"/>
  <c r="U11" i="8" s="1"/>
  <c r="A6" i="5"/>
  <c r="A7" i="5" s="1"/>
  <c r="A8" i="4"/>
  <c r="B7" i="4"/>
  <c r="N11" i="4"/>
  <c r="N7" i="4"/>
  <c r="N12" i="4" s="1"/>
  <c r="W11" i="8" l="1"/>
  <c r="B6" i="5"/>
  <c r="A8" i="5"/>
  <c r="B7" i="5"/>
  <c r="A9" i="4"/>
  <c r="B8" i="4"/>
  <c r="T12" i="8" l="1"/>
  <c r="U12" i="8" s="1"/>
  <c r="A9" i="5"/>
  <c r="B8" i="5"/>
  <c r="A10" i="4"/>
  <c r="B9" i="4"/>
  <c r="W12" i="8" l="1"/>
  <c r="A10" i="5"/>
  <c r="B9" i="5"/>
  <c r="A11" i="4"/>
  <c r="B10" i="4"/>
  <c r="T13" i="8" l="1"/>
  <c r="U13" i="8" s="1"/>
  <c r="B10" i="5"/>
  <c r="A11" i="5"/>
  <c r="B11" i="4"/>
  <c r="A12" i="4"/>
  <c r="W13" i="8" l="1"/>
  <c r="A12" i="5"/>
  <c r="B11" i="5"/>
  <c r="A13" i="4"/>
  <c r="B12" i="4"/>
  <c r="T14" i="8" l="1"/>
  <c r="U14" i="8" s="1"/>
  <c r="A13" i="5"/>
  <c r="B12" i="5"/>
  <c r="B13" i="4"/>
  <c r="A14" i="4"/>
  <c r="W14" i="8" l="1"/>
  <c r="A14" i="5"/>
  <c r="B13" i="5"/>
  <c r="B14" i="4"/>
  <c r="A15" i="4"/>
  <c r="T15" i="8" l="1"/>
  <c r="U15" i="8" s="1"/>
  <c r="A15" i="5"/>
  <c r="B14" i="5"/>
  <c r="B15" i="4"/>
  <c r="A16" i="4"/>
  <c r="W15" i="8" l="1"/>
  <c r="A16" i="5"/>
  <c r="B15" i="5"/>
  <c r="B16" i="4"/>
  <c r="A17" i="4"/>
  <c r="T16" i="8" l="1"/>
  <c r="U16" i="8" s="1"/>
  <c r="B16" i="5"/>
  <c r="A17" i="5"/>
  <c r="A18" i="4"/>
  <c r="B17" i="4"/>
  <c r="W16" i="8" l="1"/>
  <c r="AB8" i="8" s="1"/>
  <c r="A18" i="5"/>
  <c r="B17" i="5"/>
  <c r="A19" i="4"/>
  <c r="B18" i="4"/>
  <c r="T17" i="8" l="1"/>
  <c r="U17" i="8" s="1"/>
  <c r="B18" i="5"/>
  <c r="A19" i="5"/>
  <c r="A20" i="4"/>
  <c r="B19" i="4"/>
  <c r="W17" i="8" l="1"/>
  <c r="B19" i="5"/>
  <c r="A20" i="5"/>
  <c r="A21" i="4"/>
  <c r="B20" i="4"/>
  <c r="T18" i="8" l="1"/>
  <c r="U18" i="8" s="1"/>
  <c r="A21" i="5"/>
  <c r="B20" i="5"/>
  <c r="A22" i="4"/>
  <c r="B21" i="4"/>
  <c r="W18" i="8" l="1"/>
  <c r="A22" i="5"/>
  <c r="B21" i="5"/>
  <c r="A23" i="4"/>
  <c r="B22" i="4"/>
  <c r="B22" i="5" l="1"/>
  <c r="A23" i="5"/>
  <c r="A24" i="4"/>
  <c r="B23" i="4"/>
  <c r="A24" i="5" l="1"/>
  <c r="B23" i="5"/>
  <c r="A25" i="4"/>
  <c r="B24" i="4"/>
  <c r="B24" i="5" l="1"/>
  <c r="A25" i="5"/>
  <c r="A26" i="4"/>
  <c r="B25" i="4"/>
  <c r="A26" i="5" l="1"/>
  <c r="B25" i="5"/>
  <c r="A27" i="4"/>
  <c r="B26" i="4"/>
  <c r="A27" i="5" l="1"/>
  <c r="B26" i="5"/>
  <c r="A28" i="4"/>
  <c r="B27" i="4"/>
  <c r="A28" i="5" l="1"/>
  <c r="B27" i="5"/>
  <c r="A29" i="4"/>
  <c r="B28" i="4"/>
  <c r="A29" i="5" l="1"/>
  <c r="B28" i="5"/>
  <c r="A30" i="4"/>
  <c r="B29" i="4"/>
  <c r="A30" i="5" l="1"/>
  <c r="B29" i="5"/>
  <c r="A31" i="4"/>
  <c r="B30" i="4"/>
  <c r="A31" i="5" l="1"/>
  <c r="B30" i="5"/>
  <c r="A32" i="4"/>
  <c r="B31" i="4"/>
  <c r="A32" i="5" l="1"/>
  <c r="B31" i="5"/>
  <c r="A33" i="4"/>
  <c r="B32" i="4"/>
  <c r="B32" i="5" l="1"/>
  <c r="A33" i="5"/>
  <c r="A34" i="4"/>
  <c r="B33" i="4"/>
  <c r="A34" i="5" l="1"/>
  <c r="B33" i="5"/>
  <c r="A35" i="4"/>
  <c r="B34" i="4"/>
  <c r="B34" i="5" l="1"/>
  <c r="A35" i="5"/>
  <c r="A36" i="4"/>
  <c r="B35" i="4"/>
  <c r="A36" i="5" l="1"/>
  <c r="B35" i="5"/>
  <c r="A37" i="4"/>
  <c r="B36" i="4"/>
  <c r="A37" i="5" l="1"/>
  <c r="B36" i="5"/>
  <c r="A38" i="4"/>
  <c r="B37" i="4"/>
  <c r="A38" i="5" l="1"/>
  <c r="B37" i="5"/>
  <c r="A39" i="4"/>
  <c r="B38" i="4"/>
  <c r="A39" i="5" l="1"/>
  <c r="B38" i="5"/>
  <c r="A40" i="4"/>
  <c r="B39" i="4"/>
  <c r="A40" i="5" l="1"/>
  <c r="B39" i="5"/>
  <c r="A41" i="4"/>
  <c r="B40" i="4"/>
  <c r="B40" i="5" l="1"/>
  <c r="A41" i="5"/>
  <c r="A42" i="4"/>
  <c r="B41" i="4"/>
  <c r="A42" i="5" l="1"/>
  <c r="B41" i="5"/>
  <c r="A43" i="4"/>
  <c r="B42" i="4"/>
  <c r="B42" i="5" l="1"/>
  <c r="A43" i="5"/>
  <c r="A44" i="4"/>
  <c r="B43" i="4"/>
  <c r="B43" i="5" l="1"/>
  <c r="A44" i="5"/>
  <c r="A45" i="4"/>
  <c r="B44" i="4"/>
  <c r="A45" i="5" l="1"/>
  <c r="B44" i="5"/>
  <c r="A46" i="4"/>
  <c r="B45" i="4"/>
  <c r="A46" i="5" l="1"/>
  <c r="B45" i="5"/>
  <c r="A47" i="4"/>
  <c r="B46" i="4"/>
  <c r="B46" i="5" l="1"/>
  <c r="A47" i="5"/>
  <c r="A48" i="4"/>
  <c r="B47" i="4"/>
  <c r="A48" i="5" l="1"/>
  <c r="B47" i="5"/>
  <c r="A49" i="4"/>
  <c r="B48" i="4"/>
  <c r="B48" i="5" l="1"/>
  <c r="A49" i="5"/>
  <c r="A50" i="4"/>
  <c r="B49" i="4"/>
  <c r="A50" i="5" l="1"/>
  <c r="B49" i="5"/>
  <c r="A51" i="4"/>
  <c r="B50" i="4"/>
  <c r="B50" i="5" l="1"/>
  <c r="A51" i="5"/>
  <c r="A52" i="4"/>
  <c r="B51" i="4"/>
  <c r="A52" i="5" l="1"/>
  <c r="B51" i="5"/>
  <c r="A53" i="4"/>
  <c r="B52" i="4"/>
  <c r="A53" i="5" l="1"/>
  <c r="B52" i="5"/>
  <c r="A54" i="4"/>
  <c r="B53" i="4"/>
  <c r="A54" i="5" l="1"/>
  <c r="B53" i="5"/>
  <c r="A55" i="4"/>
  <c r="B54" i="4"/>
  <c r="B54" i="5" l="1"/>
  <c r="A55" i="5"/>
  <c r="A56" i="4"/>
  <c r="B55" i="4"/>
  <c r="A56" i="5" l="1"/>
  <c r="B55" i="5"/>
  <c r="A57" i="4"/>
  <c r="B56" i="4"/>
  <c r="B56" i="5" l="1"/>
  <c r="A57" i="5"/>
  <c r="A58" i="4"/>
  <c r="B57" i="4"/>
  <c r="A58" i="5" l="1"/>
  <c r="B57" i="5"/>
  <c r="A59" i="4"/>
  <c r="B58" i="4"/>
  <c r="B58" i="5" l="1"/>
  <c r="A59" i="5"/>
  <c r="A60" i="4"/>
  <c r="B59" i="4"/>
  <c r="A60" i="5" l="1"/>
  <c r="B59" i="5"/>
  <c r="A61" i="4"/>
  <c r="B60" i="4"/>
  <c r="A61" i="5" l="1"/>
  <c r="B60" i="5"/>
  <c r="A62" i="4"/>
  <c r="B61" i="4"/>
  <c r="A62" i="5" l="1"/>
  <c r="B61" i="5"/>
  <c r="A63" i="4"/>
  <c r="B62" i="4"/>
  <c r="A63" i="5" l="1"/>
  <c r="B62" i="5"/>
  <c r="A64" i="4"/>
  <c r="B63" i="4"/>
  <c r="A64" i="5" l="1"/>
  <c r="B63" i="5"/>
  <c r="A65" i="4"/>
  <c r="B64" i="4"/>
  <c r="B64" i="5" l="1"/>
  <c r="A65" i="5"/>
  <c r="A66" i="4"/>
  <c r="B65" i="4"/>
  <c r="A66" i="5" l="1"/>
  <c r="B65" i="5"/>
  <c r="A67" i="4"/>
  <c r="B66" i="4"/>
  <c r="A67" i="5" l="1"/>
  <c r="B66" i="5"/>
  <c r="A68" i="4"/>
  <c r="B67" i="4"/>
  <c r="A68" i="5" l="1"/>
  <c r="B67" i="5"/>
  <c r="A69" i="4"/>
  <c r="B68" i="4"/>
  <c r="A69" i="5" l="1"/>
  <c r="B68" i="5"/>
  <c r="A70" i="4"/>
  <c r="B69" i="4"/>
  <c r="A70" i="5" l="1"/>
  <c r="B69" i="5"/>
  <c r="A71" i="4"/>
  <c r="B70" i="4"/>
  <c r="B70" i="5" l="1"/>
  <c r="A71" i="5"/>
  <c r="A72" i="4"/>
  <c r="B71" i="4"/>
  <c r="A72" i="5" l="1"/>
  <c r="B71" i="5"/>
  <c r="A73" i="4"/>
  <c r="B72" i="4"/>
  <c r="B72" i="5" l="1"/>
  <c r="A73" i="5"/>
  <c r="A74" i="4"/>
  <c r="B73" i="4"/>
  <c r="B73" i="5" l="1"/>
  <c r="A74" i="5"/>
  <c r="A75" i="4"/>
  <c r="B74" i="4"/>
  <c r="B74" i="5" l="1"/>
  <c r="A75" i="5"/>
  <c r="A76" i="4"/>
  <c r="B75" i="4"/>
  <c r="A76" i="5" l="1"/>
  <c r="B75" i="5"/>
  <c r="A77" i="4"/>
  <c r="B76" i="4"/>
  <c r="A77" i="5" l="1"/>
  <c r="B76" i="5"/>
  <c r="A78" i="4"/>
  <c r="B77" i="4"/>
  <c r="A78" i="5" l="1"/>
  <c r="B77" i="5"/>
  <c r="A79" i="4"/>
  <c r="B78" i="4"/>
  <c r="A79" i="5" l="1"/>
  <c r="B78" i="5"/>
  <c r="A80" i="4"/>
  <c r="B79" i="4"/>
  <c r="A80" i="5" l="1"/>
  <c r="B79" i="5"/>
  <c r="A81" i="4"/>
  <c r="B80" i="4"/>
  <c r="B80" i="5" l="1"/>
  <c r="A81" i="5"/>
  <c r="A82" i="4"/>
  <c r="B81" i="4"/>
  <c r="A82" i="5" l="1"/>
  <c r="B81" i="5"/>
  <c r="A83" i="4"/>
  <c r="B82" i="4"/>
  <c r="B82" i="5" l="1"/>
  <c r="A83" i="5"/>
  <c r="A84" i="4"/>
  <c r="B83" i="4"/>
  <c r="A84" i="5" l="1"/>
  <c r="B83" i="5"/>
  <c r="A85" i="4"/>
  <c r="B84" i="4"/>
  <c r="A85" i="5" l="1"/>
  <c r="B84" i="5"/>
  <c r="A86" i="4"/>
  <c r="B85" i="4"/>
  <c r="A86" i="5" l="1"/>
  <c r="B85" i="5"/>
  <c r="A87" i="4"/>
  <c r="B86" i="4"/>
  <c r="A87" i="5" l="1"/>
  <c r="B86" i="5"/>
  <c r="A88" i="4"/>
  <c r="B87" i="4"/>
  <c r="A88" i="5" l="1"/>
  <c r="B87" i="5"/>
  <c r="A89" i="4"/>
  <c r="B88" i="4"/>
  <c r="B88" i="5" l="1"/>
  <c r="A89" i="5"/>
  <c r="A90" i="4"/>
  <c r="B89" i="4"/>
  <c r="B89" i="5" l="1"/>
  <c r="A90" i="5"/>
  <c r="A91" i="4"/>
  <c r="B90" i="4"/>
  <c r="B90" i="5" l="1"/>
  <c r="A91" i="5"/>
  <c r="A92" i="4"/>
  <c r="B91" i="4"/>
  <c r="A92" i="5" l="1"/>
  <c r="B91" i="5"/>
  <c r="A93" i="4"/>
  <c r="B92" i="4"/>
  <c r="A93" i="5" l="1"/>
  <c r="B92" i="5"/>
  <c r="A94" i="4"/>
  <c r="B93" i="4"/>
  <c r="A94" i="5" l="1"/>
  <c r="B93" i="5"/>
  <c r="A95" i="4"/>
  <c r="B94" i="4"/>
  <c r="B94" i="5" l="1"/>
  <c r="A95" i="5"/>
  <c r="A96" i="4"/>
  <c r="B95" i="4"/>
  <c r="A96" i="5" l="1"/>
  <c r="B95" i="5"/>
  <c r="A97" i="4"/>
  <c r="B96" i="4"/>
  <c r="A97" i="5" l="1"/>
  <c r="B96" i="5"/>
  <c r="A98" i="4"/>
  <c r="B97" i="4"/>
  <c r="A98" i="5" l="1"/>
  <c r="B97" i="5"/>
  <c r="A99" i="4"/>
  <c r="B98" i="4"/>
  <c r="B98" i="5" l="1"/>
  <c r="A99" i="5"/>
  <c r="A100" i="4"/>
  <c r="B99" i="4"/>
  <c r="A100" i="5" l="1"/>
  <c r="B99" i="5"/>
  <c r="A101" i="4"/>
  <c r="B100" i="4"/>
  <c r="A101" i="5" l="1"/>
  <c r="B100" i="5"/>
  <c r="A102" i="4"/>
  <c r="B101" i="4"/>
  <c r="A102" i="5" l="1"/>
  <c r="B101" i="5"/>
  <c r="A103" i="4"/>
  <c r="B102" i="4"/>
  <c r="B102" i="5" l="1"/>
  <c r="A103" i="5"/>
  <c r="A104" i="4"/>
  <c r="B103" i="4"/>
  <c r="A104" i="5" l="1"/>
  <c r="B103" i="5"/>
  <c r="A105" i="4"/>
  <c r="B104" i="4"/>
  <c r="B104" i="5" l="1"/>
  <c r="A105" i="5"/>
  <c r="A106" i="4"/>
  <c r="B105" i="4"/>
  <c r="A106" i="5" l="1"/>
  <c r="B105" i="5"/>
  <c r="A107" i="4"/>
  <c r="B106" i="4"/>
  <c r="A107" i="5" l="1"/>
  <c r="B106" i="5"/>
  <c r="A108" i="4"/>
  <c r="B107" i="4"/>
  <c r="A108" i="5" l="1"/>
  <c r="B107" i="5"/>
  <c r="A109" i="4"/>
  <c r="B108" i="4"/>
  <c r="A109" i="5" l="1"/>
  <c r="B108" i="5"/>
  <c r="A110" i="4"/>
  <c r="B109" i="4"/>
  <c r="A110" i="5" l="1"/>
  <c r="B109" i="5"/>
  <c r="A111" i="4"/>
  <c r="B110" i="4"/>
  <c r="B110" i="5" l="1"/>
  <c r="A111" i="5"/>
  <c r="A112" i="4"/>
  <c r="B111" i="4"/>
  <c r="A112" i="5" l="1"/>
  <c r="B111" i="5"/>
  <c r="A113" i="4"/>
  <c r="B112" i="4"/>
  <c r="B112" i="5" l="1"/>
  <c r="A113" i="5"/>
  <c r="A114" i="4"/>
  <c r="B113" i="4"/>
  <c r="A114" i="5" l="1"/>
  <c r="B113" i="5"/>
  <c r="A115" i="4"/>
  <c r="B114" i="4"/>
  <c r="B114" i="5" l="1"/>
  <c r="A115" i="5"/>
  <c r="A116" i="4"/>
  <c r="B115" i="4"/>
  <c r="A116" i="5" l="1"/>
  <c r="B115" i="5"/>
  <c r="A117" i="4"/>
  <c r="B116" i="4"/>
  <c r="A117" i="5" l="1"/>
  <c r="B116" i="5"/>
  <c r="A118" i="4"/>
  <c r="B117" i="4"/>
  <c r="A118" i="5" l="1"/>
  <c r="B117" i="5"/>
  <c r="A119" i="4"/>
  <c r="B118" i="4"/>
  <c r="A119" i="5" l="1"/>
  <c r="B118" i="5"/>
  <c r="A120" i="4"/>
  <c r="B119" i="4"/>
  <c r="A120" i="5" l="1"/>
  <c r="B119" i="5"/>
  <c r="A121" i="4"/>
  <c r="B120" i="4"/>
  <c r="B120" i="5" l="1"/>
  <c r="A121" i="5"/>
  <c r="A122" i="4"/>
  <c r="B121" i="4"/>
  <c r="B121" i="5" l="1"/>
  <c r="A122" i="5"/>
  <c r="A123" i="4"/>
  <c r="B122" i="4"/>
  <c r="A123" i="5" l="1"/>
  <c r="B122" i="5"/>
  <c r="A124" i="4"/>
  <c r="B123" i="4"/>
  <c r="A124" i="5" l="1"/>
  <c r="B123" i="5"/>
  <c r="A125" i="4"/>
  <c r="B124" i="4"/>
  <c r="A125" i="5" l="1"/>
  <c r="B124" i="5"/>
  <c r="A126" i="4"/>
  <c r="B125" i="4"/>
  <c r="A126" i="5" l="1"/>
  <c r="B125" i="5"/>
  <c r="A127" i="4"/>
  <c r="B126" i="4"/>
  <c r="B126" i="5" l="1"/>
  <c r="A127" i="5"/>
  <c r="A128" i="4"/>
  <c r="B127" i="4"/>
  <c r="A128" i="5" l="1"/>
  <c r="B127" i="5"/>
  <c r="A129" i="4"/>
  <c r="B128" i="4"/>
  <c r="B128" i="5" l="1"/>
  <c r="A129" i="5"/>
  <c r="A130" i="4"/>
  <c r="B129" i="4"/>
  <c r="A130" i="5" l="1"/>
  <c r="B129" i="5"/>
  <c r="A131" i="4"/>
  <c r="B130" i="4"/>
  <c r="A131" i="5" l="1"/>
  <c r="B130" i="5"/>
  <c r="A132" i="4"/>
  <c r="B131" i="4"/>
  <c r="A132" i="5" l="1"/>
  <c r="B131" i="5"/>
  <c r="A133" i="4"/>
  <c r="B132" i="4"/>
  <c r="A133" i="5" l="1"/>
  <c r="B132" i="5"/>
  <c r="A134" i="4"/>
  <c r="B133" i="4"/>
  <c r="A134" i="5" l="1"/>
  <c r="B133" i="5"/>
  <c r="A135" i="4"/>
  <c r="B134" i="4"/>
  <c r="B134" i="5" l="1"/>
  <c r="A135" i="5"/>
  <c r="A136" i="4"/>
  <c r="B135" i="4"/>
  <c r="A136" i="5" l="1"/>
  <c r="B135" i="5"/>
  <c r="A137" i="4"/>
  <c r="B136" i="4"/>
  <c r="B136" i="5" l="1"/>
  <c r="A137" i="5"/>
  <c r="A138" i="4"/>
  <c r="B137" i="4"/>
  <c r="B137" i="5" l="1"/>
  <c r="A138" i="5"/>
  <c r="A139" i="4"/>
  <c r="B138" i="4"/>
  <c r="A139" i="5" l="1"/>
  <c r="B138" i="5"/>
  <c r="A140" i="4"/>
  <c r="B139" i="4"/>
  <c r="A140" i="5" l="1"/>
  <c r="B139" i="5"/>
  <c r="A141" i="4"/>
  <c r="B140" i="4"/>
  <c r="A141" i="5" l="1"/>
  <c r="B140" i="5"/>
  <c r="A142" i="4"/>
  <c r="B141" i="4"/>
  <c r="A142" i="5" l="1"/>
  <c r="B141" i="5"/>
  <c r="A143" i="4"/>
  <c r="B142" i="4"/>
  <c r="A143" i="5" l="1"/>
  <c r="B142" i="5"/>
  <c r="A144" i="4"/>
  <c r="B143" i="4"/>
  <c r="A144" i="5" l="1"/>
  <c r="B143" i="5"/>
  <c r="A145" i="4"/>
  <c r="B144" i="4"/>
  <c r="B144" i="5" l="1"/>
  <c r="A145" i="5"/>
  <c r="A146" i="4"/>
  <c r="B145" i="4"/>
  <c r="A146" i="5" l="1"/>
  <c r="B145" i="5"/>
  <c r="A147" i="4"/>
  <c r="B146" i="4"/>
  <c r="A147" i="5" l="1"/>
  <c r="B146" i="5"/>
  <c r="A148" i="4"/>
  <c r="B147" i="4"/>
  <c r="A148" i="5" l="1"/>
  <c r="B147" i="5"/>
  <c r="A149" i="4"/>
  <c r="B148" i="4"/>
  <c r="A149" i="5" l="1"/>
  <c r="B148" i="5"/>
  <c r="A150" i="4"/>
  <c r="B149" i="4"/>
  <c r="A150" i="5" l="1"/>
  <c r="B149" i="5"/>
  <c r="A151" i="4"/>
  <c r="B150" i="4"/>
  <c r="A151" i="5" l="1"/>
  <c r="B150" i="5"/>
  <c r="A152" i="4"/>
  <c r="B151" i="4"/>
  <c r="A152" i="5" l="1"/>
  <c r="B151" i="5"/>
  <c r="A153" i="4"/>
  <c r="B152" i="4"/>
  <c r="B152" i="5" l="1"/>
  <c r="A153" i="5"/>
  <c r="A154" i="4"/>
  <c r="B153" i="4"/>
  <c r="A154" i="5" l="1"/>
  <c r="B153" i="5"/>
  <c r="A155" i="4"/>
  <c r="B154" i="4"/>
  <c r="A155" i="5" l="1"/>
  <c r="B154" i="5"/>
  <c r="A156" i="4"/>
  <c r="B155" i="4"/>
  <c r="A156" i="5" l="1"/>
  <c r="B155" i="5"/>
  <c r="A157" i="4"/>
  <c r="B156" i="4"/>
  <c r="A157" i="5" l="1"/>
  <c r="B156" i="5"/>
  <c r="A158" i="4"/>
  <c r="B157" i="4"/>
  <c r="A158" i="5" l="1"/>
  <c r="B157" i="5"/>
  <c r="A159" i="4"/>
  <c r="B158" i="4"/>
  <c r="A159" i="5" l="1"/>
  <c r="B158" i="5"/>
  <c r="A160" i="4"/>
  <c r="B159" i="4"/>
  <c r="A160" i="5" l="1"/>
  <c r="B159" i="5"/>
  <c r="A161" i="4"/>
  <c r="B160" i="4"/>
  <c r="B160" i="5" l="1"/>
  <c r="A161" i="5"/>
  <c r="A162" i="4"/>
  <c r="B161" i="4"/>
  <c r="A162" i="5" l="1"/>
  <c r="B161" i="5"/>
  <c r="A163" i="4"/>
  <c r="B162" i="4"/>
  <c r="A163" i="5" l="1"/>
  <c r="B162" i="5"/>
  <c r="A164" i="4"/>
  <c r="B163" i="4"/>
  <c r="A164" i="5" l="1"/>
  <c r="B163" i="5"/>
  <c r="A165" i="4"/>
  <c r="B164" i="4"/>
  <c r="A165" i="5" l="1"/>
  <c r="B164" i="5"/>
  <c r="A166" i="4"/>
  <c r="B165" i="4"/>
  <c r="A166" i="5" l="1"/>
  <c r="B165" i="5"/>
  <c r="A167" i="4"/>
  <c r="B166" i="4"/>
  <c r="B166" i="5" l="1"/>
  <c r="A167" i="5"/>
  <c r="A168" i="4"/>
  <c r="B167" i="4"/>
  <c r="A168" i="5" l="1"/>
  <c r="B167" i="5"/>
  <c r="A169" i="4"/>
  <c r="B168" i="4"/>
  <c r="B168" i="5" l="1"/>
  <c r="A169" i="5"/>
  <c r="A170" i="4"/>
  <c r="B169" i="4"/>
  <c r="B169" i="5" l="1"/>
  <c r="A170" i="5"/>
  <c r="A171" i="4"/>
  <c r="B170" i="4"/>
  <c r="A171" i="5" l="1"/>
  <c r="B170" i="5"/>
  <c r="A172" i="4"/>
  <c r="B171" i="4"/>
  <c r="A172" i="5" l="1"/>
  <c r="B171" i="5"/>
  <c r="A173" i="4"/>
  <c r="B172" i="4"/>
  <c r="A173" i="5" l="1"/>
  <c r="B172" i="5"/>
  <c r="A174" i="4"/>
  <c r="B173" i="4"/>
  <c r="A174" i="5" l="1"/>
  <c r="B173" i="5"/>
  <c r="A175" i="4"/>
  <c r="B174" i="4"/>
  <c r="A175" i="5" l="1"/>
  <c r="B174" i="5"/>
  <c r="A176" i="4"/>
  <c r="B175" i="4"/>
  <c r="A176" i="5" l="1"/>
  <c r="B175" i="5"/>
  <c r="A177" i="4"/>
  <c r="B176" i="4"/>
  <c r="B176" i="5" l="1"/>
  <c r="A177" i="5"/>
  <c r="A178" i="4"/>
  <c r="B177" i="4"/>
  <c r="A178" i="5" l="1"/>
  <c r="B177" i="5"/>
  <c r="A179" i="4"/>
  <c r="B178" i="4"/>
  <c r="A179" i="5" l="1"/>
  <c r="B178" i="5"/>
  <c r="A180" i="4"/>
  <c r="B179" i="4"/>
  <c r="A180" i="5" l="1"/>
  <c r="B179" i="5"/>
  <c r="A181" i="4"/>
  <c r="B180" i="4"/>
  <c r="A181" i="5" l="1"/>
  <c r="B180" i="5"/>
  <c r="A182" i="4"/>
  <c r="B181" i="4"/>
  <c r="A182" i="5" l="1"/>
  <c r="B181" i="5"/>
  <c r="A183" i="4"/>
  <c r="B182" i="4"/>
  <c r="A183" i="5" l="1"/>
  <c r="B182" i="5"/>
  <c r="A184" i="4"/>
  <c r="B183" i="4"/>
  <c r="A184" i="5" l="1"/>
  <c r="B183" i="5"/>
  <c r="A185" i="4"/>
  <c r="B184" i="4"/>
  <c r="B184" i="5" l="1"/>
  <c r="A185" i="5"/>
  <c r="A186" i="4"/>
  <c r="B185" i="4"/>
  <c r="A186" i="5" l="1"/>
  <c r="B185" i="5"/>
  <c r="A187" i="4"/>
  <c r="B186" i="4"/>
  <c r="A187" i="5" l="1"/>
  <c r="B186" i="5"/>
  <c r="A188" i="4"/>
  <c r="B187" i="4"/>
  <c r="A188" i="5" l="1"/>
  <c r="B187" i="5"/>
  <c r="A189" i="4"/>
  <c r="B188" i="4"/>
  <c r="A189" i="5" l="1"/>
  <c r="B188" i="5"/>
  <c r="A190" i="4"/>
  <c r="B189" i="4"/>
  <c r="A190" i="5" l="1"/>
  <c r="B189" i="5"/>
  <c r="A191" i="4"/>
  <c r="B190" i="4"/>
  <c r="A191" i="5" l="1"/>
  <c r="B190" i="5"/>
  <c r="A192" i="4"/>
  <c r="B191" i="4"/>
  <c r="A192" i="5" l="1"/>
  <c r="B191" i="5"/>
  <c r="A193" i="4"/>
  <c r="B192" i="4"/>
  <c r="A193" i="5" l="1"/>
  <c r="B192" i="5"/>
  <c r="A194" i="4"/>
  <c r="B193" i="4"/>
  <c r="B193" i="5" l="1"/>
  <c r="A194" i="5"/>
  <c r="A195" i="4"/>
  <c r="B194" i="4"/>
  <c r="A195" i="5" l="1"/>
  <c r="B194" i="5"/>
  <c r="A196" i="4"/>
  <c r="B195" i="4"/>
  <c r="A196" i="5" l="1"/>
  <c r="B195" i="5"/>
  <c r="A197" i="4"/>
  <c r="B196" i="4"/>
  <c r="A197" i="5" l="1"/>
  <c r="B196" i="5"/>
  <c r="A198" i="4"/>
  <c r="B197" i="4"/>
  <c r="A198" i="5" l="1"/>
  <c r="B197" i="5"/>
  <c r="A199" i="4"/>
  <c r="B198" i="4"/>
  <c r="A199" i="5" l="1"/>
  <c r="B198" i="5"/>
  <c r="A200" i="4"/>
  <c r="B199" i="4"/>
  <c r="A200" i="5" l="1"/>
  <c r="B199" i="5"/>
  <c r="A201" i="4"/>
  <c r="B200" i="4"/>
  <c r="B200" i="5" l="1"/>
  <c r="A201" i="5"/>
  <c r="A202" i="4"/>
  <c r="B201" i="4"/>
  <c r="A202" i="5" l="1"/>
  <c r="B201" i="5"/>
  <c r="A203" i="4"/>
  <c r="B202" i="4"/>
  <c r="A203" i="5" l="1"/>
  <c r="B202" i="5"/>
  <c r="A204" i="4"/>
  <c r="B203" i="4"/>
  <c r="A204" i="5" l="1"/>
  <c r="B203" i="5"/>
  <c r="A205" i="4"/>
  <c r="B204" i="4"/>
  <c r="A205" i="5" l="1"/>
  <c r="B204" i="5"/>
  <c r="A206" i="4"/>
  <c r="B205" i="4"/>
  <c r="A206" i="5" l="1"/>
  <c r="B205" i="5"/>
  <c r="A207" i="4"/>
  <c r="B206" i="4"/>
  <c r="A207" i="5" l="1"/>
  <c r="B206" i="5"/>
  <c r="A208" i="4"/>
  <c r="B207" i="4"/>
  <c r="A208" i="5" l="1"/>
  <c r="B207" i="5"/>
  <c r="A209" i="4"/>
  <c r="B208" i="4"/>
  <c r="B208" i="5" l="1"/>
  <c r="A209" i="5"/>
  <c r="A210" i="4"/>
  <c r="B209" i="4"/>
  <c r="B209" i="5" l="1"/>
  <c r="A210" i="5"/>
  <c r="A211" i="4"/>
  <c r="B210" i="4"/>
  <c r="A211" i="5" l="1"/>
  <c r="B210" i="5"/>
  <c r="A212" i="4"/>
  <c r="B211" i="4"/>
  <c r="A212" i="5" l="1"/>
  <c r="B211" i="5"/>
  <c r="A213" i="4"/>
  <c r="B212" i="4"/>
  <c r="A213" i="5" l="1"/>
  <c r="B212" i="5"/>
  <c r="A214" i="4"/>
  <c r="B213" i="4"/>
  <c r="A214" i="5" l="1"/>
  <c r="B213" i="5"/>
  <c r="A215" i="4"/>
  <c r="B214" i="4"/>
  <c r="B214" i="5" l="1"/>
  <c r="A215" i="5"/>
  <c r="A216" i="4"/>
  <c r="B215" i="4"/>
  <c r="A216" i="5" l="1"/>
  <c r="B215" i="5"/>
  <c r="A217" i="4"/>
  <c r="B216" i="4"/>
  <c r="A217" i="5" l="1"/>
  <c r="B216" i="5"/>
  <c r="A218" i="4"/>
  <c r="B217" i="4"/>
  <c r="B217" i="5" l="1"/>
  <c r="A218" i="5"/>
  <c r="A219" i="4"/>
  <c r="B218" i="4"/>
  <c r="A219" i="5" l="1"/>
  <c r="B218" i="5"/>
  <c r="A220" i="4"/>
  <c r="B219" i="4"/>
  <c r="A220" i="5" l="1"/>
  <c r="B219" i="5"/>
  <c r="A221" i="4"/>
  <c r="B220" i="4"/>
  <c r="A221" i="5" l="1"/>
  <c r="B220" i="5"/>
  <c r="A222" i="4"/>
  <c r="B221" i="4"/>
  <c r="A222" i="5" l="1"/>
  <c r="B221" i="5"/>
  <c r="A223" i="4"/>
  <c r="B222" i="4"/>
  <c r="A223" i="5" l="1"/>
  <c r="B222" i="5"/>
  <c r="A224" i="4"/>
  <c r="B223" i="4"/>
  <c r="A224" i="5" l="1"/>
  <c r="B223" i="5"/>
  <c r="A225" i="4"/>
  <c r="B224" i="4"/>
  <c r="B224" i="5" l="1"/>
  <c r="A225" i="5"/>
  <c r="A226" i="4"/>
  <c r="B225" i="4"/>
  <c r="B225" i="5" l="1"/>
  <c r="A226" i="5"/>
  <c r="A227" i="4"/>
  <c r="B226" i="4"/>
  <c r="A227" i="5" l="1"/>
  <c r="B226" i="5"/>
  <c r="A228" i="4"/>
  <c r="B227" i="4"/>
  <c r="A228" i="5" l="1"/>
  <c r="B227" i="5"/>
  <c r="A229" i="4"/>
  <c r="B228" i="4"/>
  <c r="A229" i="5" l="1"/>
  <c r="B228" i="5"/>
  <c r="A230" i="4"/>
  <c r="B229" i="4"/>
  <c r="A230" i="5" l="1"/>
  <c r="B229" i="5"/>
  <c r="A231" i="4"/>
  <c r="B230" i="4"/>
  <c r="B230" i="5" l="1"/>
  <c r="A231" i="5"/>
  <c r="A232" i="4"/>
  <c r="B231" i="4"/>
  <c r="A232" i="5" l="1"/>
  <c r="B231" i="5"/>
  <c r="A233" i="4"/>
  <c r="B232" i="4"/>
  <c r="B232" i="5" l="1"/>
  <c r="A233" i="5"/>
  <c r="A234" i="4"/>
  <c r="B233" i="4"/>
  <c r="B233" i="5" l="1"/>
  <c r="A234" i="5"/>
  <c r="A235" i="4"/>
  <c r="B234" i="4"/>
  <c r="A235" i="5" l="1"/>
  <c r="B234" i="5"/>
  <c r="A236" i="4"/>
  <c r="B235" i="4"/>
  <c r="A236" i="5" l="1"/>
  <c r="B235" i="5"/>
  <c r="A237" i="4"/>
  <c r="B236" i="4"/>
  <c r="A237" i="5" l="1"/>
  <c r="B236" i="5"/>
  <c r="A238" i="4"/>
  <c r="B237" i="4"/>
  <c r="A238" i="5" l="1"/>
  <c r="B237" i="5"/>
  <c r="A239" i="4"/>
  <c r="B238" i="4"/>
  <c r="B238" i="5" l="1"/>
  <c r="A239" i="5"/>
  <c r="A240" i="4"/>
  <c r="B239" i="4"/>
  <c r="A240" i="5" l="1"/>
  <c r="B239" i="5"/>
  <c r="A241" i="4"/>
  <c r="B240" i="4"/>
  <c r="A241" i="5" l="1"/>
  <c r="B240" i="5"/>
  <c r="A242" i="4"/>
  <c r="B241" i="4"/>
  <c r="B241" i="5" l="1"/>
  <c r="A242" i="5"/>
  <c r="A243" i="4"/>
  <c r="B242" i="4"/>
  <c r="A243" i="5" l="1"/>
  <c r="B242" i="5"/>
  <c r="A244" i="4"/>
  <c r="B243" i="4"/>
  <c r="A244" i="5" l="1"/>
  <c r="B243" i="5"/>
  <c r="A245" i="4"/>
  <c r="B244" i="4"/>
  <c r="A245" i="5" l="1"/>
  <c r="B244" i="5"/>
  <c r="A246" i="4"/>
  <c r="B245" i="4"/>
  <c r="A246" i="5" l="1"/>
  <c r="B245" i="5"/>
  <c r="A247" i="4"/>
  <c r="B246" i="4"/>
  <c r="B246" i="5" l="1"/>
  <c r="A247" i="5"/>
  <c r="A248" i="4"/>
  <c r="B247" i="4"/>
  <c r="A248" i="5" l="1"/>
  <c r="B247" i="5"/>
  <c r="A249" i="4"/>
  <c r="B248" i="4"/>
  <c r="A249" i="5" l="1"/>
  <c r="B248" i="5"/>
  <c r="A250" i="4"/>
  <c r="B249" i="4"/>
  <c r="B249" i="5" l="1"/>
  <c r="A250" i="5"/>
  <c r="A251" i="4"/>
  <c r="B250" i="4"/>
  <c r="A251" i="5" l="1"/>
  <c r="B250" i="5"/>
  <c r="A252" i="4"/>
  <c r="B251" i="4"/>
  <c r="A252" i="5" l="1"/>
  <c r="B251" i="5"/>
  <c r="A253" i="4"/>
  <c r="B252" i="4"/>
  <c r="A253" i="5" l="1"/>
  <c r="B252" i="5"/>
  <c r="A254" i="4"/>
  <c r="B253" i="4"/>
  <c r="A254" i="5" l="1"/>
  <c r="B253" i="5"/>
  <c r="A255" i="4"/>
  <c r="B254" i="4"/>
  <c r="A255" i="5" l="1"/>
  <c r="B254" i="5"/>
  <c r="A256" i="4"/>
  <c r="B255" i="4"/>
  <c r="A256" i="5" l="1"/>
  <c r="B255" i="5"/>
  <c r="A257" i="4"/>
  <c r="B256" i="4"/>
  <c r="A257" i="5" l="1"/>
  <c r="B256" i="5"/>
  <c r="A258" i="4"/>
  <c r="B257" i="4"/>
  <c r="A258" i="5" l="1"/>
  <c r="B257" i="5"/>
  <c r="A259" i="4"/>
  <c r="B258" i="4"/>
  <c r="A259" i="5" l="1"/>
  <c r="B258" i="5"/>
  <c r="A260" i="4"/>
  <c r="B259" i="4"/>
  <c r="A260" i="5" l="1"/>
  <c r="B259" i="5"/>
  <c r="A261" i="4"/>
  <c r="B260" i="4"/>
  <c r="A261" i="5" l="1"/>
  <c r="B260" i="5"/>
  <c r="A262" i="4"/>
  <c r="B261" i="4"/>
  <c r="A262" i="5" l="1"/>
  <c r="B261" i="5"/>
  <c r="A263" i="4"/>
  <c r="B262" i="4"/>
  <c r="B262" i="5" l="1"/>
  <c r="A263" i="5"/>
  <c r="A264" i="4"/>
  <c r="B263" i="4"/>
  <c r="A264" i="5" l="1"/>
  <c r="B263" i="5"/>
  <c r="A265" i="4"/>
  <c r="B264" i="4"/>
  <c r="A265" i="5" l="1"/>
  <c r="B264" i="5"/>
  <c r="A266" i="4"/>
  <c r="B265" i="4"/>
  <c r="B265" i="5" l="1"/>
  <c r="A266" i="5"/>
  <c r="A267" i="4"/>
  <c r="B266" i="4"/>
  <c r="A267" i="5" l="1"/>
  <c r="B266" i="5"/>
  <c r="A268" i="4"/>
  <c r="B267" i="4"/>
  <c r="A268" i="5" l="1"/>
  <c r="B267" i="5"/>
  <c r="A269" i="4"/>
  <c r="B268" i="4"/>
  <c r="A269" i="5" l="1"/>
  <c r="B268" i="5"/>
  <c r="A270" i="4"/>
  <c r="B269" i="4"/>
  <c r="A270" i="5" l="1"/>
  <c r="B269" i="5"/>
  <c r="A271" i="4"/>
  <c r="B270" i="4"/>
  <c r="A271" i="5" l="1"/>
  <c r="B270" i="5"/>
  <c r="A272" i="4"/>
  <c r="B271" i="4"/>
  <c r="A272" i="5" l="1"/>
  <c r="B271" i="5"/>
  <c r="A273" i="4"/>
  <c r="B272" i="4"/>
  <c r="A273" i="5" l="1"/>
  <c r="B272" i="5"/>
  <c r="A274" i="4"/>
  <c r="B273" i="4"/>
  <c r="B273" i="5" l="1"/>
  <c r="A274" i="5"/>
  <c r="A275" i="4"/>
  <c r="B274" i="4"/>
  <c r="A275" i="5" l="1"/>
  <c r="B274" i="5"/>
  <c r="A276" i="4"/>
  <c r="B275" i="4"/>
  <c r="A276" i="5" l="1"/>
  <c r="B275" i="5"/>
  <c r="A277" i="4"/>
  <c r="B276" i="4"/>
  <c r="A277" i="5" l="1"/>
  <c r="B276" i="5"/>
  <c r="A278" i="4"/>
  <c r="B277" i="4"/>
  <c r="A278" i="5" l="1"/>
  <c r="B277" i="5"/>
  <c r="A279" i="4"/>
  <c r="B278" i="4"/>
  <c r="B278" i="5" l="1"/>
  <c r="A279" i="5"/>
  <c r="A280" i="4"/>
  <c r="B279" i="4"/>
  <c r="A280" i="5" l="1"/>
  <c r="B279" i="5"/>
  <c r="A281" i="4"/>
  <c r="B280" i="4"/>
  <c r="A281" i="5" l="1"/>
  <c r="B280" i="5"/>
  <c r="A282" i="4"/>
  <c r="B281" i="4"/>
  <c r="B281" i="5" l="1"/>
  <c r="A282" i="5"/>
  <c r="A283" i="4"/>
  <c r="B282" i="4"/>
  <c r="A283" i="5" l="1"/>
  <c r="B282" i="5"/>
  <c r="A284" i="4"/>
  <c r="B283" i="4"/>
  <c r="A284" i="5" l="1"/>
  <c r="B283" i="5"/>
  <c r="A285" i="4"/>
  <c r="B284" i="4"/>
  <c r="A285" i="5" l="1"/>
  <c r="B284" i="5"/>
  <c r="A286" i="4"/>
  <c r="B285" i="4"/>
  <c r="A286" i="5" l="1"/>
  <c r="B285" i="5"/>
  <c r="A287" i="4"/>
  <c r="B286" i="4"/>
  <c r="B286" i="5" l="1"/>
  <c r="A287" i="5"/>
  <c r="A288" i="4"/>
  <c r="B287" i="4"/>
  <c r="A288" i="5" l="1"/>
  <c r="B287" i="5"/>
  <c r="A289" i="4"/>
  <c r="B288" i="4"/>
  <c r="A289" i="5" l="1"/>
  <c r="B288" i="5"/>
  <c r="A290" i="4"/>
  <c r="B289" i="4"/>
  <c r="B289" i="5" l="1"/>
  <c r="A290" i="5"/>
  <c r="A291" i="4"/>
  <c r="B290" i="4"/>
  <c r="A291" i="5" l="1"/>
  <c r="B290" i="5"/>
  <c r="A292" i="4"/>
  <c r="B291" i="4"/>
  <c r="A292" i="5" l="1"/>
  <c r="B291" i="5"/>
  <c r="A293" i="4"/>
  <c r="B292" i="4"/>
  <c r="A293" i="5" l="1"/>
  <c r="B292" i="5"/>
  <c r="A294" i="4"/>
  <c r="B293" i="4"/>
  <c r="A294" i="5" l="1"/>
  <c r="B293" i="5"/>
  <c r="A295" i="4"/>
  <c r="B294" i="4"/>
  <c r="A295" i="5" l="1"/>
  <c r="B294" i="5"/>
  <c r="A296" i="4"/>
  <c r="B295" i="4"/>
  <c r="A296" i="5" l="1"/>
  <c r="B295" i="5"/>
  <c r="A297" i="4"/>
  <c r="B296" i="4"/>
  <c r="A297" i="5" l="1"/>
  <c r="B296" i="5"/>
  <c r="A298" i="4"/>
  <c r="B297" i="4"/>
  <c r="B297" i="5" l="1"/>
  <c r="A298" i="5"/>
  <c r="A299" i="4"/>
  <c r="B298" i="4"/>
  <c r="A299" i="5" l="1"/>
  <c r="B298" i="5"/>
  <c r="A300" i="4"/>
  <c r="B299" i="4"/>
  <c r="A300" i="5" l="1"/>
  <c r="B299" i="5"/>
  <c r="A301" i="4"/>
  <c r="B300" i="4"/>
  <c r="A301" i="5" l="1"/>
  <c r="B300" i="5"/>
  <c r="A302" i="4"/>
  <c r="B301" i="4"/>
  <c r="A302" i="5" l="1"/>
  <c r="B301" i="5"/>
  <c r="A303" i="4"/>
  <c r="B302" i="4"/>
  <c r="A303" i="5" l="1"/>
  <c r="B302" i="5"/>
  <c r="A304" i="4"/>
  <c r="B303" i="4"/>
  <c r="A304" i="5" l="1"/>
  <c r="B303" i="5"/>
  <c r="A305" i="4"/>
  <c r="B304" i="4"/>
  <c r="A305" i="5" l="1"/>
  <c r="B304" i="5"/>
  <c r="A306" i="4"/>
  <c r="B305" i="4"/>
  <c r="B305" i="5" l="1"/>
  <c r="A306" i="5"/>
  <c r="A307" i="4"/>
  <c r="B306" i="4"/>
  <c r="A307" i="5" l="1"/>
  <c r="B306" i="5"/>
  <c r="A308" i="4"/>
  <c r="B307" i="4"/>
  <c r="A308" i="5" l="1"/>
  <c r="B307" i="5"/>
  <c r="A309" i="4"/>
  <c r="B308" i="4"/>
  <c r="A309" i="5" l="1"/>
  <c r="B308" i="5"/>
  <c r="A310" i="4"/>
  <c r="B309" i="4"/>
  <c r="A310" i="5" l="1"/>
  <c r="B309" i="5"/>
  <c r="A311" i="4"/>
  <c r="B310" i="4"/>
  <c r="A311" i="5" l="1"/>
  <c r="B310" i="5"/>
  <c r="A312" i="4"/>
  <c r="B311" i="4"/>
  <c r="A312" i="5" l="1"/>
  <c r="B311" i="5"/>
  <c r="A313" i="4"/>
  <c r="B312" i="4"/>
  <c r="A313" i="5" l="1"/>
  <c r="B312" i="5"/>
  <c r="A314" i="4"/>
  <c r="B313" i="4"/>
  <c r="B313" i="5" l="1"/>
  <c r="A314" i="5"/>
  <c r="A315" i="4"/>
  <c r="B314" i="4"/>
  <c r="A315" i="5" l="1"/>
  <c r="B314" i="5"/>
  <c r="A316" i="4"/>
  <c r="B315" i="4"/>
  <c r="A316" i="5" l="1"/>
  <c r="B315" i="5"/>
  <c r="A317" i="4"/>
  <c r="B316" i="4"/>
  <c r="A317" i="5" l="1"/>
  <c r="B316" i="5"/>
  <c r="A318" i="4"/>
  <c r="B317" i="4"/>
  <c r="A318" i="5" l="1"/>
  <c r="B317" i="5"/>
  <c r="A319" i="4"/>
  <c r="B318" i="4"/>
  <c r="B318" i="5" l="1"/>
  <c r="A319" i="5"/>
  <c r="A320" i="4"/>
  <c r="B319" i="4"/>
  <c r="A320" i="5" l="1"/>
  <c r="B319" i="5"/>
  <c r="A321" i="4"/>
  <c r="B320" i="4"/>
  <c r="A321" i="5" l="1"/>
  <c r="B320" i="5"/>
  <c r="A322" i="4"/>
  <c r="B321" i="4"/>
  <c r="A322" i="5" l="1"/>
  <c r="B321" i="5"/>
  <c r="A323" i="4"/>
  <c r="B322" i="4"/>
  <c r="A323" i="5" l="1"/>
  <c r="B322" i="5"/>
  <c r="A324" i="4"/>
  <c r="B323" i="4"/>
  <c r="A324" i="5" l="1"/>
  <c r="B323" i="5"/>
  <c r="A325" i="4"/>
  <c r="B324" i="4"/>
  <c r="A325" i="5" l="1"/>
  <c r="B324" i="5"/>
  <c r="A326" i="4"/>
  <c r="B325" i="4"/>
  <c r="A326" i="5" l="1"/>
  <c r="B325" i="5"/>
  <c r="A327" i="4"/>
  <c r="B326" i="4"/>
  <c r="A327" i="5" l="1"/>
  <c r="B326" i="5"/>
  <c r="A328" i="4"/>
  <c r="B327" i="4"/>
  <c r="A328" i="5" l="1"/>
  <c r="B327" i="5"/>
  <c r="A329" i="4"/>
  <c r="B328" i="4"/>
  <c r="A329" i="5" l="1"/>
  <c r="B328" i="5"/>
  <c r="A330" i="4"/>
  <c r="B329" i="4"/>
  <c r="B329" i="5" l="1"/>
  <c r="A330" i="5"/>
  <c r="A331" i="4"/>
  <c r="B330" i="4"/>
  <c r="A331" i="5" l="1"/>
  <c r="B330" i="5"/>
  <c r="A332" i="4"/>
  <c r="B331" i="4"/>
  <c r="A332" i="5" l="1"/>
  <c r="B331" i="5"/>
  <c r="A333" i="4"/>
  <c r="B332" i="4"/>
  <c r="A333" i="5" l="1"/>
  <c r="B332" i="5"/>
  <c r="A334" i="4"/>
  <c r="B333" i="4"/>
  <c r="A334" i="5" l="1"/>
  <c r="B333" i="5"/>
  <c r="A335" i="4"/>
  <c r="B334" i="4"/>
  <c r="A335" i="5" l="1"/>
  <c r="B334" i="5"/>
  <c r="A336" i="4"/>
  <c r="B335" i="4"/>
  <c r="A336" i="5" l="1"/>
  <c r="B335" i="5"/>
  <c r="A337" i="4"/>
  <c r="B336" i="4"/>
  <c r="A337" i="5" l="1"/>
  <c r="B336" i="5"/>
  <c r="A338" i="4"/>
  <c r="B337" i="4"/>
  <c r="B337" i="5" l="1"/>
  <c r="A338" i="5"/>
  <c r="A339" i="4"/>
  <c r="B338" i="4"/>
  <c r="A339" i="5" l="1"/>
  <c r="B338" i="5"/>
  <c r="A340" i="4"/>
  <c r="B339" i="4"/>
  <c r="A340" i="5" l="1"/>
  <c r="B339" i="5"/>
  <c r="A341" i="4"/>
  <c r="B340" i="4"/>
  <c r="A341" i="5" l="1"/>
  <c r="B340" i="5"/>
  <c r="A342" i="4"/>
  <c r="B341" i="4"/>
  <c r="A342" i="5" l="1"/>
  <c r="B341" i="5"/>
  <c r="A343" i="4"/>
  <c r="B342" i="4"/>
  <c r="A343" i="5" l="1"/>
  <c r="B342" i="5"/>
  <c r="A344" i="4"/>
  <c r="B343" i="4"/>
  <c r="A344" i="5" l="1"/>
  <c r="B343" i="5"/>
  <c r="A345" i="4"/>
  <c r="B344" i="4"/>
  <c r="A345" i="5" l="1"/>
  <c r="B344" i="5"/>
  <c r="A346" i="4"/>
  <c r="B345" i="4"/>
  <c r="B345" i="5" l="1"/>
  <c r="A346" i="5"/>
  <c r="A347" i="4"/>
  <c r="B346" i="4"/>
  <c r="A347" i="5" l="1"/>
  <c r="B346" i="5"/>
  <c r="A348" i="4"/>
  <c r="B347" i="4"/>
  <c r="A348" i="5" l="1"/>
  <c r="B347" i="5"/>
  <c r="A349" i="4"/>
  <c r="B348" i="4"/>
  <c r="A349" i="5" l="1"/>
  <c r="B348" i="5"/>
  <c r="A350" i="4"/>
  <c r="B349" i="4"/>
  <c r="A350" i="5" l="1"/>
  <c r="B349" i="5"/>
  <c r="A351" i="4"/>
  <c r="B350" i="4"/>
  <c r="A351" i="5" l="1"/>
  <c r="B350" i="5"/>
  <c r="A352" i="4"/>
  <c r="B351" i="4"/>
  <c r="A352" i="5" l="1"/>
  <c r="B351" i="5"/>
  <c r="A353" i="4"/>
  <c r="B352" i="4"/>
  <c r="A353" i="5" l="1"/>
  <c r="B352" i="5"/>
  <c r="A354" i="4"/>
  <c r="B353" i="4"/>
  <c r="B353" i="5" l="1"/>
  <c r="A354" i="5"/>
  <c r="A355" i="4"/>
  <c r="B354" i="4"/>
  <c r="A355" i="5" l="1"/>
  <c r="B354" i="5"/>
  <c r="A356" i="4"/>
  <c r="B355" i="4"/>
  <c r="A356" i="5" l="1"/>
  <c r="B355" i="5"/>
  <c r="A357" i="4"/>
  <c r="B356" i="4"/>
  <c r="A357" i="5" l="1"/>
  <c r="B356" i="5"/>
  <c r="A358" i="4"/>
  <c r="B357" i="4"/>
  <c r="A358" i="5" l="1"/>
  <c r="B357" i="5"/>
  <c r="A359" i="4"/>
  <c r="B358" i="4"/>
  <c r="A359" i="5" l="1"/>
  <c r="B358" i="5"/>
  <c r="A360" i="4"/>
  <c r="B359" i="4"/>
  <c r="A360" i="5" l="1"/>
  <c r="B359" i="5"/>
  <c r="A361" i="4"/>
  <c r="B360" i="4"/>
  <c r="A361" i="5" l="1"/>
  <c r="B360" i="5"/>
  <c r="A362" i="4"/>
  <c r="B361" i="4"/>
  <c r="B361" i="5" l="1"/>
  <c r="A362" i="5"/>
  <c r="A363" i="4"/>
  <c r="B362" i="4"/>
  <c r="A363" i="5" l="1"/>
  <c r="B362" i="5"/>
  <c r="A364" i="4"/>
  <c r="B363" i="4"/>
  <c r="A364" i="5" l="1"/>
  <c r="B363" i="5"/>
  <c r="A365" i="4"/>
  <c r="B364" i="4"/>
  <c r="A365" i="5" l="1"/>
  <c r="B364" i="5"/>
  <c r="A366" i="4"/>
  <c r="B365" i="4"/>
  <c r="A366" i="5" l="1"/>
  <c r="B365" i="5"/>
  <c r="A367" i="4"/>
  <c r="B366" i="4"/>
  <c r="A367" i="5" l="1"/>
  <c r="B366" i="5"/>
  <c r="A368" i="4"/>
  <c r="B367" i="4"/>
  <c r="A368" i="5" l="1"/>
  <c r="B367" i="5"/>
  <c r="A369" i="4"/>
  <c r="B368" i="4"/>
  <c r="A369" i="5" l="1"/>
  <c r="B368" i="5"/>
  <c r="A370" i="4"/>
  <c r="B369" i="4"/>
  <c r="B369" i="5" l="1"/>
  <c r="A370" i="5"/>
  <c r="A371" i="4"/>
  <c r="B370" i="4"/>
  <c r="A371" i="5" l="1"/>
  <c r="B370" i="5"/>
  <c r="A372" i="4"/>
  <c r="B371" i="4"/>
  <c r="A372" i="5" l="1"/>
  <c r="B371" i="5"/>
  <c r="A373" i="4"/>
  <c r="B372" i="4"/>
  <c r="A373" i="5" l="1"/>
  <c r="B372" i="5"/>
  <c r="A374" i="4"/>
  <c r="B373" i="4"/>
  <c r="A374" i="5" l="1"/>
  <c r="B373" i="5"/>
  <c r="A375" i="4"/>
  <c r="B374" i="4"/>
  <c r="A375" i="5" l="1"/>
  <c r="B374" i="5"/>
  <c r="A376" i="4"/>
  <c r="B375" i="4"/>
  <c r="A376" i="5" l="1"/>
  <c r="B375" i="5"/>
  <c r="A377" i="4"/>
  <c r="B376" i="4"/>
  <c r="A377" i="5" l="1"/>
  <c r="B376" i="5"/>
  <c r="A378" i="4"/>
  <c r="B377" i="4"/>
  <c r="B377" i="5" l="1"/>
  <c r="A378" i="5"/>
  <c r="A379" i="4"/>
  <c r="B378" i="4"/>
  <c r="A379" i="5" l="1"/>
  <c r="B378" i="5"/>
  <c r="A380" i="4"/>
  <c r="B379" i="4"/>
  <c r="A380" i="5" l="1"/>
  <c r="B379" i="5"/>
  <c r="A381" i="4"/>
  <c r="B380" i="4"/>
  <c r="A381" i="5" l="1"/>
  <c r="B380" i="5"/>
  <c r="A382" i="4"/>
  <c r="B381" i="4"/>
  <c r="A382" i="5" l="1"/>
  <c r="B381" i="5"/>
  <c r="A383" i="4"/>
  <c r="B382" i="4"/>
  <c r="A383" i="5" l="1"/>
  <c r="B382" i="5"/>
  <c r="A384" i="4"/>
  <c r="B383" i="4"/>
  <c r="A384" i="5" l="1"/>
  <c r="B383" i="5"/>
  <c r="A385" i="4"/>
  <c r="B384" i="4"/>
  <c r="A385" i="5" l="1"/>
  <c r="B384" i="5"/>
  <c r="A386" i="4"/>
  <c r="B385" i="4"/>
  <c r="B385" i="5" l="1"/>
  <c r="A386" i="5"/>
  <c r="A387" i="4"/>
  <c r="B386" i="4"/>
  <c r="A387" i="5" l="1"/>
  <c r="B386" i="5"/>
  <c r="A388" i="4"/>
  <c r="B387" i="4"/>
  <c r="A388" i="5" l="1"/>
  <c r="B387" i="5"/>
  <c r="A389" i="4"/>
  <c r="B388" i="4"/>
  <c r="A389" i="5" l="1"/>
  <c r="B388" i="5"/>
  <c r="A390" i="4"/>
  <c r="B389" i="4"/>
  <c r="A390" i="5" l="1"/>
  <c r="B389" i="5"/>
  <c r="A391" i="4"/>
  <c r="B390" i="4"/>
  <c r="A391" i="5" l="1"/>
  <c r="B390" i="5"/>
  <c r="A392" i="4"/>
  <c r="B391" i="4"/>
  <c r="A392" i="5" l="1"/>
  <c r="B391" i="5"/>
  <c r="A393" i="4"/>
  <c r="B392" i="4"/>
  <c r="A393" i="5" l="1"/>
  <c r="B392" i="5"/>
  <c r="A394" i="4"/>
  <c r="B393" i="4"/>
  <c r="B393" i="5" l="1"/>
  <c r="A394" i="5"/>
  <c r="A395" i="4"/>
  <c r="B394" i="4"/>
  <c r="A395" i="5" l="1"/>
  <c r="B394" i="5"/>
  <c r="A396" i="4"/>
  <c r="B395" i="4"/>
  <c r="A396" i="5" l="1"/>
  <c r="B395" i="5"/>
  <c r="A397" i="4"/>
  <c r="B396" i="4"/>
  <c r="A397" i="5" l="1"/>
  <c r="B396" i="5"/>
  <c r="A398" i="4"/>
  <c r="B397" i="4"/>
  <c r="A398" i="5" l="1"/>
  <c r="B397" i="5"/>
  <c r="A399" i="4"/>
  <c r="B398" i="4"/>
  <c r="A399" i="5" l="1"/>
  <c r="B398" i="5"/>
  <c r="A400" i="4"/>
  <c r="B399" i="4"/>
  <c r="A400" i="5" l="1"/>
  <c r="B399" i="5"/>
  <c r="A401" i="4"/>
  <c r="B400" i="4"/>
  <c r="A401" i="5" l="1"/>
  <c r="B400" i="5"/>
  <c r="A402" i="4"/>
  <c r="B401" i="4"/>
  <c r="B401" i="5" l="1"/>
  <c r="A402" i="5"/>
  <c r="A403" i="4"/>
  <c r="B402" i="4"/>
  <c r="A403" i="5" l="1"/>
  <c r="B402" i="5"/>
  <c r="A404" i="4"/>
  <c r="B403" i="4"/>
  <c r="A404" i="5" l="1"/>
  <c r="B403" i="5"/>
  <c r="A405" i="4"/>
  <c r="B404" i="4"/>
  <c r="A405" i="5" l="1"/>
  <c r="B404" i="5"/>
  <c r="A406" i="4"/>
  <c r="B405" i="4"/>
  <c r="A406" i="5" l="1"/>
  <c r="B405" i="5"/>
  <c r="A407" i="4"/>
  <c r="B406" i="4"/>
  <c r="A407" i="5" l="1"/>
  <c r="B406" i="5"/>
  <c r="A408" i="4"/>
  <c r="B407" i="4"/>
  <c r="A408" i="5" l="1"/>
  <c r="B407" i="5"/>
  <c r="A409" i="4"/>
  <c r="B408" i="4"/>
  <c r="A409" i="5" l="1"/>
  <c r="B408" i="5"/>
  <c r="A410" i="4"/>
  <c r="B409" i="4"/>
  <c r="B409" i="5" l="1"/>
  <c r="A410" i="5"/>
  <c r="A411" i="4"/>
  <c r="B410" i="4"/>
  <c r="A411" i="5" l="1"/>
  <c r="B410" i="5"/>
  <c r="A412" i="4"/>
  <c r="B411" i="4"/>
  <c r="A412" i="5" l="1"/>
  <c r="B411" i="5"/>
  <c r="A413" i="4"/>
  <c r="B412" i="4"/>
  <c r="A413" i="5" l="1"/>
  <c r="B412" i="5"/>
  <c r="A414" i="4"/>
  <c r="B413" i="4"/>
  <c r="A414" i="5" l="1"/>
  <c r="B413" i="5"/>
  <c r="A415" i="4"/>
  <c r="B414" i="4"/>
  <c r="A415" i="5" l="1"/>
  <c r="B414" i="5"/>
  <c r="A416" i="4"/>
  <c r="B415" i="4"/>
  <c r="A416" i="5" l="1"/>
  <c r="B415" i="5"/>
  <c r="A417" i="4"/>
  <c r="B416" i="4"/>
  <c r="A417" i="5" l="1"/>
  <c r="B416" i="5"/>
  <c r="A418" i="4"/>
  <c r="B417" i="4"/>
  <c r="B417" i="5" l="1"/>
  <c r="A418" i="5"/>
  <c r="A419" i="4"/>
  <c r="B418" i="4"/>
  <c r="A419" i="5" l="1"/>
  <c r="B418" i="5"/>
  <c r="A420" i="4"/>
  <c r="B419" i="4"/>
  <c r="A420" i="5" l="1"/>
  <c r="B419" i="5"/>
  <c r="A421" i="4"/>
  <c r="B420" i="4"/>
  <c r="A421" i="5" l="1"/>
  <c r="B420" i="5"/>
  <c r="A422" i="4"/>
  <c r="B421" i="4"/>
  <c r="A422" i="5" l="1"/>
  <c r="B421" i="5"/>
  <c r="A423" i="4"/>
  <c r="B422" i="4"/>
  <c r="A423" i="5" l="1"/>
  <c r="B422" i="5"/>
  <c r="A424" i="4"/>
  <c r="B423" i="4"/>
  <c r="A424" i="5" l="1"/>
  <c r="B423" i="5"/>
  <c r="A425" i="4"/>
  <c r="B424" i="4"/>
  <c r="A425" i="5" l="1"/>
  <c r="B424" i="5"/>
  <c r="A426" i="4"/>
  <c r="B425" i="4"/>
  <c r="B425" i="5" l="1"/>
  <c r="A426" i="5"/>
  <c r="A427" i="4"/>
  <c r="B426" i="4"/>
  <c r="A427" i="5" l="1"/>
  <c r="B426" i="5"/>
  <c r="A428" i="4"/>
  <c r="B427" i="4"/>
  <c r="A428" i="5" l="1"/>
  <c r="B427" i="5"/>
  <c r="A429" i="4"/>
  <c r="B428" i="4"/>
  <c r="A429" i="5" l="1"/>
  <c r="B428" i="5"/>
  <c r="A430" i="4"/>
  <c r="B429" i="4"/>
  <c r="A430" i="5" l="1"/>
  <c r="B429" i="5"/>
  <c r="A431" i="4"/>
  <c r="B430" i="4"/>
  <c r="A431" i="5" l="1"/>
  <c r="B430" i="5"/>
  <c r="A432" i="4"/>
  <c r="B431" i="4"/>
  <c r="A432" i="5" l="1"/>
  <c r="B431" i="5"/>
  <c r="A433" i="4"/>
  <c r="B432" i="4"/>
  <c r="A433" i="5" l="1"/>
  <c r="B432" i="5"/>
  <c r="A434" i="4"/>
  <c r="B433" i="4"/>
  <c r="B433" i="5" l="1"/>
  <c r="A434" i="5"/>
  <c r="A435" i="4"/>
  <c r="B434" i="4"/>
  <c r="A435" i="5" l="1"/>
  <c r="B434" i="5"/>
  <c r="A436" i="4"/>
  <c r="B435" i="4"/>
  <c r="A436" i="5" l="1"/>
  <c r="B435" i="5"/>
  <c r="A437" i="4"/>
  <c r="B436" i="4"/>
  <c r="A437" i="5" l="1"/>
  <c r="B436" i="5"/>
  <c r="A438" i="4"/>
  <c r="B437" i="4"/>
  <c r="A438" i="5" l="1"/>
  <c r="B437" i="5"/>
  <c r="A439" i="4"/>
  <c r="B438" i="4"/>
  <c r="A439" i="5" l="1"/>
  <c r="B438" i="5"/>
  <c r="A440" i="4"/>
  <c r="B439" i="4"/>
  <c r="A440" i="5" l="1"/>
  <c r="B439" i="5"/>
  <c r="A441" i="4"/>
  <c r="B440" i="4"/>
  <c r="A441" i="5" l="1"/>
  <c r="B440" i="5"/>
  <c r="A442" i="4"/>
  <c r="B441" i="4"/>
  <c r="B441" i="5" l="1"/>
  <c r="A442" i="5"/>
  <c r="A443" i="4"/>
  <c r="B442" i="4"/>
  <c r="A443" i="5" l="1"/>
  <c r="B442" i="5"/>
  <c r="A444" i="4"/>
  <c r="B443" i="4"/>
  <c r="A444" i="5" l="1"/>
  <c r="B443" i="5"/>
  <c r="A445" i="4"/>
  <c r="B444" i="4"/>
  <c r="A445" i="5" l="1"/>
  <c r="B444" i="5"/>
  <c r="A446" i="4"/>
  <c r="B445" i="4"/>
  <c r="A446" i="5" l="1"/>
  <c r="B445" i="5"/>
  <c r="A447" i="4"/>
  <c r="B446" i="4"/>
  <c r="A447" i="5" l="1"/>
  <c r="B446" i="5"/>
  <c r="A448" i="4"/>
  <c r="B447" i="4"/>
  <c r="A448" i="5" l="1"/>
  <c r="B447" i="5"/>
  <c r="A449" i="4"/>
  <c r="B448" i="4"/>
  <c r="A449" i="5" l="1"/>
  <c r="B448" i="5"/>
  <c r="A450" i="4"/>
  <c r="B449" i="4"/>
  <c r="B449" i="5" l="1"/>
  <c r="A450" i="5"/>
  <c r="A451" i="4"/>
  <c r="B450" i="4"/>
  <c r="A451" i="5" l="1"/>
  <c r="B450" i="5"/>
  <c r="A452" i="4"/>
  <c r="B451" i="4"/>
  <c r="A452" i="5" l="1"/>
  <c r="B451" i="5"/>
  <c r="A453" i="4"/>
  <c r="B452" i="4"/>
  <c r="A453" i="5" l="1"/>
  <c r="B452" i="5"/>
  <c r="A454" i="4"/>
  <c r="B453" i="4"/>
  <c r="A454" i="5" l="1"/>
  <c r="B453" i="5"/>
  <c r="A455" i="4"/>
  <c r="B454" i="4"/>
  <c r="A455" i="5" l="1"/>
  <c r="B454" i="5"/>
  <c r="A456" i="4"/>
  <c r="B455" i="4"/>
  <c r="A456" i="5" l="1"/>
  <c r="B455" i="5"/>
  <c r="A457" i="4"/>
  <c r="B456" i="4"/>
  <c r="A457" i="5" l="1"/>
  <c r="B456" i="5"/>
  <c r="A458" i="4"/>
  <c r="B457" i="4"/>
  <c r="B457" i="5" l="1"/>
  <c r="A458" i="5"/>
  <c r="A459" i="4"/>
  <c r="B458" i="4"/>
  <c r="A459" i="5" l="1"/>
  <c r="B458" i="5"/>
  <c r="A460" i="4"/>
  <c r="B459" i="4"/>
  <c r="A460" i="5" l="1"/>
  <c r="B459" i="5"/>
  <c r="A461" i="4"/>
  <c r="B460" i="4"/>
  <c r="A461" i="5" l="1"/>
  <c r="B460" i="5"/>
  <c r="A462" i="4"/>
  <c r="B461" i="4"/>
  <c r="A462" i="5" l="1"/>
  <c r="B461" i="5"/>
  <c r="A463" i="4"/>
  <c r="B462" i="4"/>
  <c r="A463" i="5" l="1"/>
  <c r="B462" i="5"/>
  <c r="A464" i="4"/>
  <c r="B463" i="4"/>
  <c r="A464" i="5" l="1"/>
  <c r="B463" i="5"/>
  <c r="A465" i="4"/>
  <c r="B464" i="4"/>
  <c r="A465" i="5" l="1"/>
  <c r="B464" i="5"/>
  <c r="A466" i="4"/>
  <c r="B465" i="4"/>
  <c r="B465" i="5" l="1"/>
  <c r="A466" i="5"/>
  <c r="A467" i="4"/>
  <c r="B466" i="4"/>
  <c r="A467" i="5" l="1"/>
  <c r="B466" i="5"/>
  <c r="A468" i="4"/>
  <c r="B467" i="4"/>
  <c r="A468" i="5" l="1"/>
  <c r="B467" i="5"/>
  <c r="A469" i="4"/>
  <c r="B468" i="4"/>
  <c r="A469" i="5" l="1"/>
  <c r="B468" i="5"/>
  <c r="A470" i="4"/>
  <c r="B469" i="4"/>
  <c r="A470" i="5" l="1"/>
  <c r="B469" i="5"/>
  <c r="A471" i="4"/>
  <c r="B470" i="4"/>
  <c r="A471" i="5" l="1"/>
  <c r="B470" i="5"/>
  <c r="A472" i="4"/>
  <c r="B471" i="4"/>
  <c r="A472" i="5" l="1"/>
  <c r="B471" i="5"/>
  <c r="A473" i="4"/>
  <c r="B472" i="4"/>
  <c r="A473" i="5" l="1"/>
  <c r="B472" i="5"/>
  <c r="A474" i="4"/>
  <c r="B473" i="4"/>
  <c r="B473" i="5" l="1"/>
  <c r="A474" i="5"/>
  <c r="A475" i="4"/>
  <c r="B474" i="4"/>
  <c r="A475" i="5" l="1"/>
  <c r="B474" i="5"/>
  <c r="A476" i="4"/>
  <c r="B475" i="4"/>
  <c r="A476" i="5" l="1"/>
  <c r="B475" i="5"/>
  <c r="A477" i="4"/>
  <c r="B476" i="4"/>
  <c r="A477" i="5" l="1"/>
  <c r="B476" i="5"/>
  <c r="A478" i="4"/>
  <c r="B477" i="4"/>
  <c r="A478" i="5" l="1"/>
  <c r="B477" i="5"/>
  <c r="A479" i="4"/>
  <c r="B478" i="4"/>
  <c r="A479" i="5" l="1"/>
  <c r="B478" i="5"/>
  <c r="A480" i="4"/>
  <c r="B479" i="4"/>
  <c r="A480" i="5" l="1"/>
  <c r="B479" i="5"/>
  <c r="A481" i="4"/>
  <c r="B480" i="4"/>
  <c r="A481" i="5" l="1"/>
  <c r="B480" i="5"/>
  <c r="A482" i="4"/>
  <c r="B481" i="4"/>
  <c r="B481" i="5" l="1"/>
  <c r="A482" i="5"/>
  <c r="A483" i="4"/>
  <c r="B482" i="4"/>
  <c r="A483" i="5" l="1"/>
  <c r="B482" i="5"/>
  <c r="A484" i="4"/>
  <c r="B483" i="4"/>
  <c r="A484" i="5" l="1"/>
  <c r="B483" i="5"/>
  <c r="A485" i="4"/>
  <c r="B484" i="4"/>
  <c r="A485" i="5" l="1"/>
  <c r="B484" i="5"/>
  <c r="A486" i="4"/>
  <c r="B485" i="4"/>
  <c r="A486" i="5" l="1"/>
  <c r="B485" i="5"/>
  <c r="A487" i="4"/>
  <c r="B486" i="4"/>
  <c r="A487" i="5" l="1"/>
  <c r="B486" i="5"/>
  <c r="A488" i="4"/>
  <c r="B487" i="4"/>
  <c r="A488" i="5" l="1"/>
  <c r="B487" i="5"/>
  <c r="A489" i="4"/>
  <c r="B488" i="4"/>
  <c r="A489" i="5" l="1"/>
  <c r="B488" i="5"/>
  <c r="A490" i="4"/>
  <c r="B489" i="4"/>
  <c r="B489" i="5" l="1"/>
  <c r="A490" i="5"/>
  <c r="A491" i="4"/>
  <c r="B490" i="4"/>
  <c r="A491" i="5" l="1"/>
  <c r="B490" i="5"/>
  <c r="A492" i="4"/>
  <c r="B491" i="4"/>
  <c r="A492" i="5" l="1"/>
  <c r="B491" i="5"/>
  <c r="A493" i="4"/>
  <c r="B492" i="4"/>
  <c r="A493" i="5" l="1"/>
  <c r="B492" i="5"/>
  <c r="A494" i="4"/>
  <c r="B493" i="4"/>
  <c r="A494" i="5" l="1"/>
  <c r="B493" i="5"/>
  <c r="A495" i="4"/>
  <c r="B494" i="4"/>
  <c r="A495" i="5" l="1"/>
  <c r="B494" i="5"/>
  <c r="A496" i="4"/>
  <c r="B495" i="4"/>
  <c r="A496" i="5" l="1"/>
  <c r="B495" i="5"/>
  <c r="A497" i="4"/>
  <c r="B496" i="4"/>
  <c r="A497" i="5" l="1"/>
  <c r="B496" i="5"/>
  <c r="A498" i="4"/>
  <c r="B497" i="4"/>
  <c r="B497" i="5" l="1"/>
  <c r="A498" i="5"/>
  <c r="A499" i="4"/>
  <c r="B498" i="4"/>
  <c r="A499" i="5" l="1"/>
  <c r="B498" i="5"/>
  <c r="A500" i="4"/>
  <c r="B499" i="4"/>
  <c r="A500" i="5" l="1"/>
  <c r="B499" i="5"/>
  <c r="A501" i="4"/>
  <c r="B500" i="4"/>
  <c r="A501" i="5" l="1"/>
  <c r="B500" i="5"/>
  <c r="A502" i="4"/>
  <c r="B501" i="4"/>
  <c r="A502" i="5" l="1"/>
  <c r="B501" i="5"/>
  <c r="A503" i="4"/>
  <c r="B502" i="4"/>
  <c r="A503" i="5" l="1"/>
  <c r="B502" i="5"/>
  <c r="A504" i="4"/>
  <c r="B503" i="4"/>
  <c r="A504" i="5" l="1"/>
  <c r="B503" i="5"/>
  <c r="A505" i="4"/>
  <c r="B504" i="4"/>
  <c r="A505" i="5" l="1"/>
  <c r="B504" i="5"/>
  <c r="A506" i="4"/>
  <c r="B505" i="4"/>
  <c r="B505" i="5" l="1"/>
  <c r="A506" i="5"/>
  <c r="A507" i="4"/>
  <c r="B506" i="4"/>
  <c r="A507" i="5" l="1"/>
  <c r="B506" i="5"/>
  <c r="A508" i="4"/>
  <c r="B507" i="4"/>
  <c r="A508" i="5" l="1"/>
  <c r="B507" i="5"/>
  <c r="A509" i="4"/>
  <c r="B508" i="4"/>
  <c r="A509" i="5" l="1"/>
  <c r="B508" i="5"/>
  <c r="A510" i="4"/>
  <c r="B509" i="4"/>
  <c r="A510" i="5" l="1"/>
  <c r="B509" i="5"/>
  <c r="A511" i="4"/>
  <c r="B510" i="4"/>
  <c r="A511" i="5" l="1"/>
  <c r="B510" i="5"/>
  <c r="A512" i="4"/>
  <c r="B511" i="4"/>
  <c r="A512" i="5" l="1"/>
  <c r="B511" i="5"/>
  <c r="A513" i="4"/>
  <c r="B512" i="4"/>
  <c r="A513" i="5" l="1"/>
  <c r="B512" i="5"/>
  <c r="A514" i="4"/>
  <c r="B513" i="4"/>
  <c r="B513" i="5" l="1"/>
  <c r="A514" i="5"/>
  <c r="A515" i="4"/>
  <c r="B514" i="4"/>
  <c r="A515" i="5" l="1"/>
  <c r="B514" i="5"/>
  <c r="A516" i="4"/>
  <c r="B515" i="4"/>
  <c r="A516" i="5" l="1"/>
  <c r="B515" i="5"/>
  <c r="A517" i="4"/>
  <c r="B516" i="4"/>
  <c r="A517" i="5" l="1"/>
  <c r="B516" i="5"/>
  <c r="A518" i="4"/>
  <c r="B517" i="4"/>
  <c r="A518" i="5" l="1"/>
  <c r="B517" i="5"/>
  <c r="A519" i="4"/>
  <c r="B518" i="4"/>
  <c r="A519" i="5" l="1"/>
  <c r="B518" i="5"/>
  <c r="A520" i="4"/>
  <c r="B519" i="4"/>
  <c r="A520" i="5" l="1"/>
  <c r="B519" i="5"/>
  <c r="A521" i="4"/>
  <c r="B520" i="4"/>
  <c r="A521" i="5" l="1"/>
  <c r="B520" i="5"/>
  <c r="A522" i="4"/>
  <c r="B521" i="4"/>
  <c r="B521" i="5" l="1"/>
  <c r="A522" i="5"/>
  <c r="A523" i="4"/>
  <c r="B522" i="4"/>
  <c r="A523" i="5" l="1"/>
  <c r="B522" i="5"/>
  <c r="A524" i="4"/>
  <c r="B523" i="4"/>
  <c r="A524" i="5" l="1"/>
  <c r="B523" i="5"/>
  <c r="A525" i="4"/>
  <c r="B524" i="4"/>
  <c r="A525" i="5" l="1"/>
  <c r="B524" i="5"/>
  <c r="A526" i="4"/>
  <c r="B525" i="4"/>
  <c r="A526" i="5" l="1"/>
  <c r="B525" i="5"/>
  <c r="A527" i="4"/>
  <c r="B526" i="4"/>
  <c r="A527" i="5" l="1"/>
  <c r="B526" i="5"/>
  <c r="A528" i="4"/>
  <c r="B527" i="4"/>
  <c r="A528" i="5" l="1"/>
  <c r="B527" i="5"/>
  <c r="A529" i="4"/>
  <c r="B528" i="4"/>
  <c r="A529" i="5" l="1"/>
  <c r="B528" i="5"/>
  <c r="A530" i="4"/>
  <c r="B529" i="4"/>
  <c r="B529" i="5" l="1"/>
  <c r="A530" i="5"/>
  <c r="A531" i="4"/>
  <c r="B530" i="4"/>
  <c r="A531" i="5" l="1"/>
  <c r="B530" i="5"/>
  <c r="A532" i="4"/>
  <c r="B531" i="4"/>
  <c r="A532" i="5" l="1"/>
  <c r="B531" i="5"/>
  <c r="A533" i="4"/>
  <c r="B532" i="4"/>
  <c r="A533" i="5" l="1"/>
  <c r="B532" i="5"/>
  <c r="A534" i="4"/>
  <c r="B533" i="4"/>
  <c r="A534" i="5" l="1"/>
  <c r="B533" i="5"/>
  <c r="A535" i="4"/>
  <c r="B534" i="4"/>
  <c r="A535" i="5" l="1"/>
  <c r="B534" i="5"/>
  <c r="A536" i="4"/>
  <c r="B535" i="4"/>
  <c r="A536" i="5" l="1"/>
  <c r="B535" i="5"/>
  <c r="A537" i="4"/>
  <c r="B536" i="4"/>
  <c r="A537" i="5" l="1"/>
  <c r="B536" i="5"/>
  <c r="A538" i="4"/>
  <c r="B537" i="4"/>
  <c r="B537" i="5" l="1"/>
  <c r="A538" i="5"/>
  <c r="A539" i="4"/>
  <c r="B538" i="4"/>
  <c r="A539" i="5" l="1"/>
  <c r="B538" i="5"/>
  <c r="A540" i="4"/>
  <c r="B539" i="4"/>
  <c r="A540" i="5" l="1"/>
  <c r="B539" i="5"/>
  <c r="A541" i="4"/>
  <c r="B540" i="4"/>
  <c r="A541" i="5" l="1"/>
  <c r="B540" i="5"/>
  <c r="A542" i="4"/>
  <c r="B541" i="4"/>
  <c r="A542" i="5" l="1"/>
  <c r="B541" i="5"/>
  <c r="A543" i="4"/>
  <c r="B542" i="4"/>
  <c r="A543" i="5" l="1"/>
  <c r="B542" i="5"/>
  <c r="A544" i="4"/>
  <c r="B543" i="4"/>
  <c r="A544" i="5" l="1"/>
  <c r="B543" i="5"/>
  <c r="A545" i="4"/>
  <c r="B544" i="4"/>
  <c r="A545" i="5" l="1"/>
  <c r="B544" i="5"/>
  <c r="A546" i="4"/>
  <c r="B545" i="4"/>
  <c r="B545" i="5" l="1"/>
  <c r="A546" i="5"/>
  <c r="A547" i="4"/>
  <c r="B546" i="4"/>
  <c r="A547" i="5" l="1"/>
  <c r="B546" i="5"/>
  <c r="A548" i="4"/>
  <c r="B547" i="4"/>
  <c r="A548" i="5" l="1"/>
  <c r="B547" i="5"/>
  <c r="A549" i="4"/>
  <c r="B548" i="4"/>
  <c r="A549" i="5" l="1"/>
  <c r="B548" i="5"/>
  <c r="A550" i="4"/>
  <c r="B549" i="4"/>
  <c r="A550" i="5" l="1"/>
  <c r="B549" i="5"/>
  <c r="A551" i="4"/>
  <c r="B550" i="4"/>
  <c r="A551" i="5" l="1"/>
  <c r="B550" i="5"/>
  <c r="A552" i="4"/>
  <c r="B551" i="4"/>
  <c r="A552" i="5" l="1"/>
  <c r="B551" i="5"/>
  <c r="A553" i="4"/>
  <c r="B552" i="4"/>
  <c r="A553" i="5" l="1"/>
  <c r="B552" i="5"/>
  <c r="A554" i="4"/>
  <c r="B553" i="4"/>
  <c r="B553" i="5" l="1"/>
  <c r="A554" i="5"/>
  <c r="A555" i="4"/>
  <c r="B554" i="4"/>
  <c r="A555" i="5" l="1"/>
  <c r="B554" i="5"/>
  <c r="A556" i="4"/>
  <c r="B555" i="4"/>
  <c r="A556" i="5" l="1"/>
  <c r="B555" i="5"/>
  <c r="A557" i="4"/>
  <c r="B556" i="4"/>
  <c r="A557" i="5" l="1"/>
  <c r="B556" i="5"/>
  <c r="A558" i="4"/>
  <c r="B557" i="4"/>
  <c r="A558" i="5" l="1"/>
  <c r="B557" i="5"/>
  <c r="A559" i="4"/>
  <c r="B558" i="4"/>
  <c r="A559" i="5" l="1"/>
  <c r="B558" i="5"/>
  <c r="A560" i="4"/>
  <c r="B559" i="4"/>
  <c r="A560" i="5" l="1"/>
  <c r="B559" i="5"/>
  <c r="A561" i="4"/>
  <c r="B560" i="4"/>
  <c r="A561" i="5" l="1"/>
  <c r="B560" i="5"/>
  <c r="A562" i="4"/>
  <c r="B561" i="4"/>
  <c r="B561" i="5" l="1"/>
  <c r="A562" i="5"/>
  <c r="A563" i="4"/>
  <c r="B562" i="4"/>
  <c r="A563" i="5" l="1"/>
  <c r="B562" i="5"/>
  <c r="A564" i="4"/>
  <c r="B563" i="4"/>
  <c r="A564" i="5" l="1"/>
  <c r="B563" i="5"/>
  <c r="A565" i="4"/>
  <c r="B564" i="4"/>
  <c r="A565" i="5" l="1"/>
  <c r="B564" i="5"/>
  <c r="A566" i="4"/>
  <c r="B565" i="4"/>
  <c r="A566" i="5" l="1"/>
  <c r="B565" i="5"/>
  <c r="A567" i="4"/>
  <c r="B566" i="4"/>
  <c r="A567" i="5" l="1"/>
  <c r="B566" i="5"/>
  <c r="A568" i="4"/>
  <c r="B567" i="4"/>
  <c r="A568" i="5" l="1"/>
  <c r="B567" i="5"/>
  <c r="A569" i="4"/>
  <c r="B568" i="4"/>
  <c r="A569" i="5" l="1"/>
  <c r="B568" i="5"/>
  <c r="A570" i="4"/>
  <c r="B569" i="4"/>
  <c r="B569" i="5" l="1"/>
  <c r="A570" i="5"/>
  <c r="A571" i="4"/>
  <c r="B570" i="4"/>
  <c r="A571" i="5" l="1"/>
  <c r="B570" i="5"/>
  <c r="A572" i="4"/>
  <c r="B571" i="4"/>
  <c r="A572" i="5" l="1"/>
  <c r="B571" i="5"/>
  <c r="A573" i="4"/>
  <c r="B572" i="4"/>
  <c r="A573" i="5" l="1"/>
  <c r="B572" i="5"/>
  <c r="A574" i="4"/>
  <c r="B573" i="4"/>
  <c r="A574" i="5" l="1"/>
  <c r="B573" i="5"/>
  <c r="A575" i="4"/>
  <c r="B574" i="4"/>
  <c r="A575" i="5" l="1"/>
  <c r="B574" i="5"/>
  <c r="A576" i="4"/>
  <c r="B575" i="4"/>
  <c r="A576" i="5" l="1"/>
  <c r="B575" i="5"/>
  <c r="A577" i="4"/>
  <c r="B576" i="4"/>
  <c r="A577" i="5" l="1"/>
  <c r="B576" i="5"/>
  <c r="A578" i="4"/>
  <c r="B577" i="4"/>
  <c r="B577" i="5" l="1"/>
  <c r="A578" i="5"/>
  <c r="A579" i="4"/>
  <c r="B578" i="4"/>
  <c r="A579" i="5" l="1"/>
  <c r="B578" i="5"/>
  <c r="A580" i="4"/>
  <c r="B579" i="4"/>
  <c r="A580" i="5" l="1"/>
  <c r="B579" i="5"/>
  <c r="A581" i="4"/>
  <c r="B580" i="4"/>
  <c r="A581" i="5" l="1"/>
  <c r="B580" i="5"/>
  <c r="A582" i="4"/>
  <c r="B581" i="4"/>
  <c r="A582" i="5" l="1"/>
  <c r="B581" i="5"/>
  <c r="A583" i="4"/>
  <c r="B582" i="4"/>
  <c r="A583" i="5" l="1"/>
  <c r="B582" i="5"/>
  <c r="A584" i="4"/>
  <c r="B583" i="4"/>
  <c r="A584" i="5" l="1"/>
  <c r="B583" i="5"/>
  <c r="A585" i="4"/>
  <c r="B584" i="4"/>
  <c r="A585" i="5" l="1"/>
  <c r="B584" i="5"/>
  <c r="A586" i="4"/>
  <c r="B585" i="4"/>
  <c r="B585" i="5" l="1"/>
  <c r="A586" i="5"/>
  <c r="A587" i="4"/>
  <c r="B586" i="4"/>
  <c r="A587" i="5" l="1"/>
  <c r="B586" i="5"/>
  <c r="A588" i="4"/>
  <c r="B587" i="4"/>
  <c r="A588" i="5" l="1"/>
  <c r="B587" i="5"/>
  <c r="A589" i="4"/>
  <c r="B588" i="4"/>
  <c r="A589" i="5" l="1"/>
  <c r="B588" i="5"/>
  <c r="A590" i="4"/>
  <c r="B589" i="4"/>
  <c r="A590" i="5" l="1"/>
  <c r="B589" i="5"/>
  <c r="A591" i="4"/>
  <c r="B590" i="4"/>
  <c r="A591" i="5" l="1"/>
  <c r="B590" i="5"/>
  <c r="A592" i="4"/>
  <c r="B591" i="4"/>
  <c r="A592" i="5" l="1"/>
  <c r="B591" i="5"/>
  <c r="A593" i="4"/>
  <c r="B592" i="4"/>
  <c r="A593" i="5" l="1"/>
  <c r="B592" i="5"/>
  <c r="A594" i="4"/>
  <c r="B593" i="4"/>
  <c r="B593" i="5" l="1"/>
  <c r="A594" i="5"/>
  <c r="A595" i="4"/>
  <c r="B594" i="4"/>
  <c r="A595" i="5" l="1"/>
  <c r="B594" i="5"/>
  <c r="A596" i="4"/>
  <c r="B595" i="4"/>
  <c r="A596" i="5" l="1"/>
  <c r="B595" i="5"/>
  <c r="A597" i="4"/>
  <c r="B596" i="4"/>
  <c r="A597" i="5" l="1"/>
  <c r="B596" i="5"/>
  <c r="A598" i="4"/>
  <c r="B597" i="4"/>
  <c r="A598" i="5" l="1"/>
  <c r="B597" i="5"/>
  <c r="A599" i="4"/>
  <c r="B598" i="4"/>
  <c r="A599" i="5" l="1"/>
  <c r="B598" i="5"/>
  <c r="A600" i="4"/>
  <c r="B599" i="4"/>
  <c r="A600" i="5" l="1"/>
  <c r="B599" i="5"/>
  <c r="A601" i="4"/>
  <c r="B600" i="4"/>
  <c r="A601" i="5" l="1"/>
  <c r="B600" i="5"/>
  <c r="A602" i="4"/>
  <c r="B601" i="4"/>
  <c r="B601" i="5" l="1"/>
  <c r="A602" i="5"/>
  <c r="A603" i="4"/>
  <c r="B602" i="4"/>
  <c r="A603" i="5" l="1"/>
  <c r="B602" i="5"/>
  <c r="A604" i="4"/>
  <c r="B603" i="4"/>
  <c r="A604" i="5" l="1"/>
  <c r="B603" i="5"/>
  <c r="A605" i="4"/>
  <c r="B604" i="4"/>
  <c r="A605" i="5" l="1"/>
  <c r="B604" i="5"/>
  <c r="A606" i="4"/>
  <c r="B605" i="4"/>
  <c r="A606" i="5" l="1"/>
  <c r="B605" i="5"/>
  <c r="A607" i="4"/>
  <c r="B606" i="4"/>
  <c r="A607" i="5" l="1"/>
  <c r="B606" i="5"/>
  <c r="A608" i="4"/>
  <c r="B607" i="4"/>
  <c r="A608" i="5" l="1"/>
  <c r="B607" i="5"/>
  <c r="A609" i="4"/>
  <c r="B608" i="4"/>
  <c r="A609" i="5" l="1"/>
  <c r="B608" i="5"/>
  <c r="A610" i="4"/>
  <c r="B609" i="4"/>
  <c r="B609" i="5" l="1"/>
  <c r="A610" i="5"/>
  <c r="A611" i="4"/>
  <c r="B610" i="4"/>
  <c r="A611" i="5" l="1"/>
  <c r="B610" i="5"/>
  <c r="A612" i="4"/>
  <c r="B611" i="4"/>
  <c r="A612" i="5" l="1"/>
  <c r="B611" i="5"/>
  <c r="A613" i="4"/>
  <c r="B612" i="4"/>
  <c r="A613" i="5" l="1"/>
  <c r="B612" i="5"/>
  <c r="A614" i="4"/>
  <c r="B613" i="4"/>
  <c r="A614" i="5" l="1"/>
  <c r="B613" i="5"/>
  <c r="A615" i="4"/>
  <c r="B614" i="4"/>
  <c r="A615" i="5" l="1"/>
  <c r="B614" i="5"/>
  <c r="A616" i="4"/>
  <c r="B615" i="4"/>
  <c r="A616" i="5" l="1"/>
  <c r="B615" i="5"/>
  <c r="A617" i="4"/>
  <c r="B616" i="4"/>
  <c r="A617" i="5" l="1"/>
  <c r="B616" i="5"/>
  <c r="A618" i="4"/>
  <c r="B617" i="4"/>
  <c r="B617" i="5" l="1"/>
  <c r="A618" i="5"/>
  <c r="A619" i="4"/>
  <c r="B618" i="4"/>
  <c r="A619" i="5" l="1"/>
  <c r="B618" i="5"/>
  <c r="A620" i="4"/>
  <c r="B619" i="4"/>
  <c r="A620" i="5" l="1"/>
  <c r="B619" i="5"/>
  <c r="A621" i="4"/>
  <c r="B620" i="4"/>
  <c r="A621" i="5" l="1"/>
  <c r="B620" i="5"/>
  <c r="A622" i="4"/>
  <c r="B621" i="4"/>
  <c r="A622" i="5" l="1"/>
  <c r="B621" i="5"/>
  <c r="A623" i="4"/>
  <c r="B622" i="4"/>
  <c r="A623" i="5" l="1"/>
  <c r="B622" i="5"/>
  <c r="A624" i="4"/>
  <c r="B623" i="4"/>
  <c r="A624" i="5" l="1"/>
  <c r="B623" i="5"/>
  <c r="A625" i="4"/>
  <c r="B624" i="4"/>
  <c r="A625" i="5" l="1"/>
  <c r="B624" i="5"/>
  <c r="A626" i="4"/>
  <c r="B625" i="4"/>
  <c r="B625" i="5" l="1"/>
  <c r="A626" i="5"/>
  <c r="A627" i="4"/>
  <c r="B626" i="4"/>
  <c r="A627" i="5" l="1"/>
  <c r="B626" i="5"/>
  <c r="A628" i="4"/>
  <c r="B627" i="4"/>
  <c r="A628" i="5" l="1"/>
  <c r="B627" i="5"/>
  <c r="A629" i="4"/>
  <c r="B628" i="4"/>
  <c r="A629" i="5" l="1"/>
  <c r="B628" i="5"/>
  <c r="A630" i="4"/>
  <c r="B629" i="4"/>
  <c r="A630" i="5" l="1"/>
  <c r="B629" i="5"/>
  <c r="A631" i="4"/>
  <c r="B630" i="4"/>
  <c r="A631" i="5" l="1"/>
  <c r="B630" i="5"/>
  <c r="A632" i="4"/>
  <c r="B631" i="4"/>
  <c r="A632" i="5" l="1"/>
  <c r="B631" i="5"/>
  <c r="A633" i="4"/>
  <c r="B632" i="4"/>
  <c r="A633" i="5" l="1"/>
  <c r="B632" i="5"/>
  <c r="A634" i="4"/>
  <c r="B633" i="4"/>
  <c r="B633" i="5" l="1"/>
  <c r="A634" i="5"/>
  <c r="A635" i="4"/>
  <c r="B634" i="4"/>
  <c r="A635" i="5" l="1"/>
  <c r="B634" i="5"/>
  <c r="A636" i="4"/>
  <c r="B635" i="4"/>
  <c r="A636" i="5" l="1"/>
  <c r="B635" i="5"/>
  <c r="A637" i="4"/>
  <c r="B636" i="4"/>
  <c r="A637" i="5" l="1"/>
  <c r="B636" i="5"/>
  <c r="A638" i="4"/>
  <c r="B637" i="4"/>
  <c r="A638" i="5" l="1"/>
  <c r="B637" i="5"/>
  <c r="A639" i="4"/>
  <c r="B638" i="4"/>
  <c r="A639" i="5" l="1"/>
  <c r="B638" i="5"/>
  <c r="A640" i="4"/>
  <c r="B639" i="4"/>
  <c r="A640" i="5" l="1"/>
  <c r="B639" i="5"/>
  <c r="A641" i="4"/>
  <c r="B640" i="4"/>
  <c r="A641" i="5" l="1"/>
  <c r="B640" i="5"/>
  <c r="A642" i="4"/>
  <c r="B641" i="4"/>
  <c r="B641" i="5" l="1"/>
  <c r="A642" i="5"/>
  <c r="A643" i="4"/>
  <c r="B642" i="4"/>
  <c r="A643" i="5" l="1"/>
  <c r="B642" i="5"/>
  <c r="A644" i="4"/>
  <c r="B643" i="4"/>
  <c r="A644" i="5" l="1"/>
  <c r="B643" i="5"/>
  <c r="A645" i="4"/>
  <c r="B644" i="4"/>
  <c r="A645" i="5" l="1"/>
  <c r="B644" i="5"/>
  <c r="A646" i="4"/>
  <c r="B645" i="4"/>
  <c r="A646" i="5" l="1"/>
  <c r="B645" i="5"/>
  <c r="A647" i="4"/>
  <c r="B646" i="4"/>
  <c r="A647" i="5" l="1"/>
  <c r="B646" i="5"/>
  <c r="A648" i="4"/>
  <c r="B647" i="4"/>
  <c r="A648" i="5" l="1"/>
  <c r="B647" i="5"/>
  <c r="A649" i="4"/>
  <c r="B648" i="4"/>
  <c r="A649" i="5" l="1"/>
  <c r="B648" i="5"/>
  <c r="A650" i="4"/>
  <c r="B649" i="4"/>
  <c r="B649" i="5" l="1"/>
  <c r="A650" i="5"/>
  <c r="A651" i="4"/>
  <c r="B650" i="4"/>
  <c r="A651" i="5" l="1"/>
  <c r="B650" i="5"/>
  <c r="A652" i="4"/>
  <c r="B651" i="4"/>
  <c r="A652" i="5" l="1"/>
  <c r="B651" i="5"/>
  <c r="A653" i="4"/>
  <c r="B652" i="4"/>
  <c r="A653" i="5" l="1"/>
  <c r="B652" i="5"/>
  <c r="A654" i="4"/>
  <c r="B653" i="4"/>
  <c r="A654" i="5" l="1"/>
  <c r="B653" i="5"/>
  <c r="A655" i="4"/>
  <c r="B654" i="4"/>
  <c r="A655" i="5" l="1"/>
  <c r="B654" i="5"/>
  <c r="A656" i="4"/>
  <c r="B655" i="4"/>
  <c r="A656" i="5" l="1"/>
  <c r="B655" i="5"/>
  <c r="A657" i="4"/>
  <c r="B656" i="4"/>
  <c r="A657" i="5" l="1"/>
  <c r="B656" i="5"/>
  <c r="A658" i="4"/>
  <c r="B657" i="4"/>
  <c r="B657" i="5" l="1"/>
  <c r="A658" i="5"/>
  <c r="A659" i="4"/>
  <c r="B658" i="4"/>
  <c r="A659" i="5" l="1"/>
  <c r="B658" i="5"/>
  <c r="A660" i="4"/>
  <c r="B659" i="4"/>
  <c r="A660" i="5" l="1"/>
  <c r="B659" i="5"/>
  <c r="A661" i="4"/>
  <c r="B660" i="4"/>
  <c r="A661" i="5" l="1"/>
  <c r="B660" i="5"/>
  <c r="A662" i="4"/>
  <c r="B661" i="4"/>
  <c r="A662" i="5" l="1"/>
  <c r="B661" i="5"/>
  <c r="A663" i="4"/>
  <c r="B662" i="4"/>
  <c r="A663" i="5" l="1"/>
  <c r="B662" i="5"/>
  <c r="A664" i="4"/>
  <c r="B663" i="4"/>
  <c r="A664" i="5" l="1"/>
  <c r="B663" i="5"/>
  <c r="A665" i="4"/>
  <c r="B664" i="4"/>
  <c r="A665" i="5" l="1"/>
  <c r="B664" i="5"/>
  <c r="A666" i="4"/>
  <c r="B665" i="4"/>
  <c r="B665" i="5" l="1"/>
  <c r="A666" i="5"/>
  <c r="A667" i="4"/>
  <c r="B666" i="4"/>
  <c r="A667" i="5" l="1"/>
  <c r="B666" i="5"/>
  <c r="A668" i="4"/>
  <c r="B667" i="4"/>
  <c r="A668" i="5" l="1"/>
  <c r="B667" i="5"/>
  <c r="A669" i="4"/>
  <c r="B668" i="4"/>
  <c r="A669" i="5" l="1"/>
  <c r="B668" i="5"/>
  <c r="A670" i="4"/>
  <c r="B669" i="4"/>
  <c r="A670" i="5" l="1"/>
  <c r="B669" i="5"/>
  <c r="A671" i="4"/>
  <c r="B670" i="4"/>
  <c r="A671" i="5" l="1"/>
  <c r="B670" i="5"/>
  <c r="A672" i="4"/>
  <c r="B671" i="4"/>
  <c r="A672" i="5" l="1"/>
  <c r="B671" i="5"/>
  <c r="A673" i="4"/>
  <c r="B672" i="4"/>
  <c r="A673" i="5" l="1"/>
  <c r="B672" i="5"/>
  <c r="A674" i="4"/>
  <c r="B673" i="4"/>
  <c r="B673" i="5" l="1"/>
  <c r="A674" i="5"/>
  <c r="A675" i="4"/>
  <c r="B674" i="4"/>
  <c r="A675" i="5" l="1"/>
  <c r="B674" i="5"/>
  <c r="A676" i="4"/>
  <c r="B675" i="4"/>
  <c r="A676" i="5" l="1"/>
  <c r="B675" i="5"/>
  <c r="A677" i="4"/>
  <c r="B676" i="4"/>
  <c r="A677" i="5" l="1"/>
  <c r="B676" i="5"/>
  <c r="A678" i="4"/>
  <c r="B677" i="4"/>
  <c r="A678" i="5" l="1"/>
  <c r="B677" i="5"/>
  <c r="A679" i="4"/>
  <c r="B678" i="4"/>
  <c r="A679" i="5" l="1"/>
  <c r="B678" i="5"/>
  <c r="A680" i="4"/>
  <c r="B679" i="4"/>
  <c r="A680" i="5" l="1"/>
  <c r="B679" i="5"/>
  <c r="A681" i="4"/>
  <c r="B680" i="4"/>
  <c r="A681" i="5" l="1"/>
  <c r="B680" i="5"/>
  <c r="A682" i="4"/>
  <c r="B681" i="4"/>
  <c r="B681" i="5" l="1"/>
  <c r="A682" i="5"/>
  <c r="A683" i="4"/>
  <c r="B682" i="4"/>
  <c r="A683" i="5" l="1"/>
  <c r="B682" i="5"/>
  <c r="A684" i="4"/>
  <c r="B683" i="4"/>
  <c r="A684" i="5" l="1"/>
  <c r="B683" i="5"/>
  <c r="A685" i="4"/>
  <c r="B684" i="4"/>
  <c r="A685" i="5" l="1"/>
  <c r="B684" i="5"/>
  <c r="A686" i="4"/>
  <c r="B685" i="4"/>
  <c r="A686" i="5" l="1"/>
  <c r="B685" i="5"/>
  <c r="A687" i="4"/>
  <c r="B686" i="4"/>
  <c r="A687" i="5" l="1"/>
  <c r="B686" i="5"/>
  <c r="A688" i="4"/>
  <c r="B687" i="4"/>
  <c r="A688" i="5" l="1"/>
  <c r="B687" i="5"/>
  <c r="A689" i="4"/>
  <c r="B688" i="4"/>
  <c r="A689" i="5" l="1"/>
  <c r="B688" i="5"/>
  <c r="A690" i="4"/>
  <c r="B689" i="4"/>
  <c r="B689" i="5" l="1"/>
  <c r="A690" i="5"/>
  <c r="A691" i="4"/>
  <c r="B690" i="4"/>
  <c r="A691" i="5" l="1"/>
  <c r="B690" i="5"/>
  <c r="A692" i="4"/>
  <c r="B691" i="4"/>
  <c r="A692" i="5" l="1"/>
  <c r="B691" i="5"/>
  <c r="A693" i="4"/>
  <c r="B692" i="4"/>
  <c r="A693" i="5" l="1"/>
  <c r="B692" i="5"/>
  <c r="A694" i="4"/>
  <c r="B693" i="4"/>
  <c r="A694" i="5" l="1"/>
  <c r="B693" i="5"/>
  <c r="A695" i="4"/>
  <c r="B694" i="4"/>
  <c r="A695" i="5" l="1"/>
  <c r="B694" i="5"/>
  <c r="A696" i="4"/>
  <c r="B695" i="4"/>
  <c r="A696" i="5" l="1"/>
  <c r="B695" i="5"/>
  <c r="A697" i="4"/>
  <c r="B696" i="4"/>
  <c r="A697" i="5" l="1"/>
  <c r="B696" i="5"/>
  <c r="A698" i="4"/>
  <c r="B697" i="4"/>
  <c r="B697" i="5" l="1"/>
  <c r="A698" i="5"/>
  <c r="A699" i="4"/>
  <c r="B698" i="4"/>
  <c r="A699" i="5" l="1"/>
  <c r="B698" i="5"/>
  <c r="A700" i="4"/>
  <c r="B699" i="4"/>
  <c r="A700" i="5" l="1"/>
  <c r="B699" i="5"/>
  <c r="A701" i="4"/>
  <c r="B700" i="4"/>
  <c r="A701" i="5" l="1"/>
  <c r="B700" i="5"/>
  <c r="A702" i="4"/>
  <c r="B701" i="4"/>
  <c r="A702" i="5" l="1"/>
  <c r="B701" i="5"/>
  <c r="A703" i="4"/>
  <c r="B702" i="4"/>
  <c r="A703" i="5" l="1"/>
  <c r="B702" i="5"/>
  <c r="A704" i="4"/>
  <c r="B703" i="4"/>
  <c r="A704" i="5" l="1"/>
  <c r="B703" i="5"/>
  <c r="A705" i="4"/>
  <c r="B704" i="4"/>
  <c r="A705" i="5" l="1"/>
  <c r="B704" i="5"/>
  <c r="A706" i="4"/>
  <c r="B705" i="4"/>
  <c r="B705" i="5" l="1"/>
  <c r="A706" i="5"/>
  <c r="A707" i="4"/>
  <c r="B706" i="4"/>
  <c r="A707" i="5" l="1"/>
  <c r="B706" i="5"/>
  <c r="A708" i="4"/>
  <c r="B707" i="4"/>
  <c r="A708" i="5" l="1"/>
  <c r="B707" i="5"/>
  <c r="A709" i="4"/>
  <c r="B708" i="4"/>
  <c r="A709" i="5" l="1"/>
  <c r="B708" i="5"/>
  <c r="A710" i="4"/>
  <c r="B709" i="4"/>
  <c r="A710" i="5" l="1"/>
  <c r="B709" i="5"/>
  <c r="A711" i="4"/>
  <c r="B710" i="4"/>
  <c r="A711" i="5" l="1"/>
  <c r="B710" i="5"/>
  <c r="A712" i="4"/>
  <c r="B711" i="4"/>
  <c r="A712" i="5" l="1"/>
  <c r="B711" i="5"/>
  <c r="A713" i="4"/>
  <c r="B712" i="4"/>
  <c r="A713" i="5" l="1"/>
  <c r="B712" i="5"/>
  <c r="A714" i="4"/>
  <c r="B713" i="4"/>
  <c r="B713" i="5" l="1"/>
  <c r="A714" i="5"/>
  <c r="A715" i="4"/>
  <c r="B714" i="4"/>
  <c r="A715" i="5" l="1"/>
  <c r="B714" i="5"/>
  <c r="A716" i="4"/>
  <c r="B715" i="4"/>
  <c r="A716" i="5" l="1"/>
  <c r="B715" i="5"/>
  <c r="A717" i="4"/>
  <c r="B716" i="4"/>
  <c r="A717" i="5" l="1"/>
  <c r="B716" i="5"/>
  <c r="A718" i="4"/>
  <c r="B717" i="4"/>
  <c r="A718" i="5" l="1"/>
  <c r="B717" i="5"/>
  <c r="A719" i="4"/>
  <c r="B718" i="4"/>
  <c r="A719" i="5" l="1"/>
  <c r="B718" i="5"/>
  <c r="A720" i="4"/>
  <c r="B719" i="4"/>
  <c r="A720" i="5" l="1"/>
  <c r="B719" i="5"/>
  <c r="A721" i="4"/>
  <c r="B720" i="4"/>
  <c r="A721" i="5" l="1"/>
  <c r="B720" i="5"/>
  <c r="A722" i="4"/>
  <c r="B721" i="4"/>
  <c r="B721" i="5" l="1"/>
  <c r="A722" i="5"/>
  <c r="A723" i="4"/>
  <c r="B722" i="4"/>
  <c r="A723" i="5" l="1"/>
  <c r="B722" i="5"/>
  <c r="A724" i="4"/>
  <c r="B723" i="4"/>
  <c r="A724" i="5" l="1"/>
  <c r="B723" i="5"/>
  <c r="A725" i="4"/>
  <c r="B724" i="4"/>
  <c r="A725" i="5" l="1"/>
  <c r="B724" i="5"/>
  <c r="A726" i="4"/>
  <c r="B725" i="4"/>
  <c r="A726" i="5" l="1"/>
  <c r="B725" i="5"/>
  <c r="A727" i="4"/>
  <c r="B726" i="4"/>
  <c r="A727" i="5" l="1"/>
  <c r="B726" i="5"/>
  <c r="A728" i="4"/>
  <c r="B727" i="4"/>
  <c r="A728" i="5" l="1"/>
  <c r="B727" i="5"/>
  <c r="A729" i="4"/>
  <c r="B728" i="4"/>
  <c r="A729" i="5" l="1"/>
  <c r="B728" i="5"/>
  <c r="A730" i="4"/>
  <c r="B729" i="4"/>
  <c r="B729" i="5" l="1"/>
  <c r="A730" i="5"/>
  <c r="A731" i="4"/>
  <c r="B730" i="4"/>
  <c r="A731" i="5" l="1"/>
  <c r="B730" i="5"/>
  <c r="A732" i="4"/>
  <c r="B731" i="4"/>
  <c r="A732" i="5" l="1"/>
  <c r="B731" i="5"/>
  <c r="A733" i="4"/>
  <c r="B732" i="4"/>
  <c r="A733" i="5" l="1"/>
  <c r="B732" i="5"/>
  <c r="A734" i="4"/>
  <c r="B733" i="4"/>
  <c r="A734" i="5" l="1"/>
  <c r="B733" i="5"/>
  <c r="A735" i="4"/>
  <c r="B734" i="4"/>
  <c r="A735" i="5" l="1"/>
  <c r="B734" i="5"/>
  <c r="A736" i="4"/>
  <c r="B735" i="4"/>
  <c r="A736" i="5" l="1"/>
  <c r="B735" i="5"/>
  <c r="A737" i="4"/>
  <c r="B736" i="4"/>
  <c r="A737" i="5" l="1"/>
  <c r="B736" i="5"/>
  <c r="A738" i="4"/>
  <c r="B737" i="4"/>
  <c r="B737" i="5" l="1"/>
  <c r="A738" i="5"/>
  <c r="A739" i="4"/>
  <c r="B738" i="4"/>
  <c r="A739" i="5" l="1"/>
  <c r="B738" i="5"/>
  <c r="A740" i="4"/>
  <c r="B739" i="4"/>
  <c r="A740" i="5" l="1"/>
  <c r="B739" i="5"/>
  <c r="A741" i="4"/>
  <c r="B740" i="4"/>
  <c r="A741" i="5" l="1"/>
  <c r="B740" i="5"/>
  <c r="A742" i="4"/>
  <c r="B741" i="4"/>
  <c r="A742" i="5" l="1"/>
  <c r="B741" i="5"/>
  <c r="A743" i="4"/>
  <c r="B742" i="4"/>
  <c r="A743" i="5" l="1"/>
  <c r="B742" i="5"/>
  <c r="A744" i="4"/>
  <c r="B743" i="4"/>
  <c r="A744" i="5" l="1"/>
  <c r="B743" i="5"/>
  <c r="A745" i="4"/>
  <c r="B744" i="4"/>
  <c r="A745" i="5" l="1"/>
  <c r="B744" i="5"/>
  <c r="A746" i="4"/>
  <c r="B745" i="4"/>
  <c r="B745" i="5" l="1"/>
  <c r="A746" i="5"/>
  <c r="A747" i="4"/>
  <c r="B746" i="4"/>
  <c r="A747" i="5" l="1"/>
  <c r="B746" i="5"/>
  <c r="A748" i="4"/>
  <c r="B747" i="4"/>
  <c r="A748" i="5" l="1"/>
  <c r="B747" i="5"/>
  <c r="A749" i="4"/>
  <c r="B748" i="4"/>
  <c r="A749" i="5" l="1"/>
  <c r="B748" i="5"/>
  <c r="A750" i="4"/>
  <c r="B749" i="4"/>
  <c r="A750" i="5" l="1"/>
  <c r="B749" i="5"/>
  <c r="A751" i="4"/>
  <c r="B750" i="4"/>
  <c r="A751" i="5" l="1"/>
  <c r="B750" i="5"/>
  <c r="A752" i="4"/>
  <c r="B751" i="4"/>
  <c r="A752" i="5" l="1"/>
  <c r="B751" i="5"/>
  <c r="A753" i="4"/>
  <c r="B752" i="4"/>
  <c r="A753" i="5" l="1"/>
  <c r="B752" i="5"/>
  <c r="A754" i="4"/>
  <c r="B753" i="4"/>
  <c r="B753" i="5" l="1"/>
  <c r="A754" i="5"/>
  <c r="A755" i="4"/>
  <c r="B754" i="4"/>
  <c r="A755" i="5" l="1"/>
  <c r="B754" i="5"/>
  <c r="A756" i="4"/>
  <c r="B755" i="4"/>
  <c r="A756" i="5" l="1"/>
  <c r="B755" i="5"/>
  <c r="A757" i="4"/>
  <c r="B756" i="4"/>
  <c r="A757" i="5" l="1"/>
  <c r="B756" i="5"/>
  <c r="A758" i="4"/>
  <c r="B757" i="4"/>
  <c r="A758" i="5" l="1"/>
  <c r="B757" i="5"/>
  <c r="A759" i="4"/>
  <c r="B758" i="4"/>
  <c r="A759" i="5" l="1"/>
  <c r="B758" i="5"/>
  <c r="A760" i="4"/>
  <c r="B759" i="4"/>
  <c r="A760" i="5" l="1"/>
  <c r="B759" i="5"/>
  <c r="A761" i="4"/>
  <c r="B760" i="4"/>
  <c r="A761" i="5" l="1"/>
  <c r="B760" i="5"/>
  <c r="A762" i="4"/>
  <c r="B761" i="4"/>
  <c r="B761" i="5" l="1"/>
  <c r="A762" i="5"/>
  <c r="A763" i="4"/>
  <c r="B762" i="4"/>
  <c r="A763" i="5" l="1"/>
  <c r="B762" i="5"/>
  <c r="A764" i="4"/>
  <c r="B763" i="4"/>
  <c r="A764" i="5" l="1"/>
  <c r="B763" i="5"/>
  <c r="A765" i="4"/>
  <c r="B764" i="4"/>
  <c r="A765" i="5" l="1"/>
  <c r="B764" i="5"/>
  <c r="A766" i="4"/>
  <c r="B765" i="4"/>
  <c r="A766" i="5" l="1"/>
  <c r="B765" i="5"/>
  <c r="A767" i="4"/>
  <c r="B766" i="4"/>
  <c r="A767" i="5" l="1"/>
  <c r="B766" i="5"/>
  <c r="A768" i="4"/>
  <c r="B767" i="4"/>
  <c r="A768" i="5" l="1"/>
  <c r="B767" i="5"/>
  <c r="A769" i="4"/>
  <c r="B768" i="4"/>
  <c r="A769" i="5" l="1"/>
  <c r="B768" i="5"/>
  <c r="A770" i="4"/>
  <c r="B769" i="4"/>
  <c r="B769" i="5" l="1"/>
  <c r="A770" i="5"/>
  <c r="A771" i="4"/>
  <c r="B770" i="4"/>
  <c r="A771" i="5" l="1"/>
  <c r="B770" i="5"/>
  <c r="A772" i="4"/>
  <c r="B771" i="4"/>
  <c r="A772" i="5" l="1"/>
  <c r="B771" i="5"/>
  <c r="A773" i="4"/>
  <c r="B772" i="4"/>
  <c r="A773" i="5" l="1"/>
  <c r="B772" i="5"/>
  <c r="A774" i="4"/>
  <c r="B773" i="4"/>
  <c r="A774" i="5" l="1"/>
  <c r="B773" i="5"/>
  <c r="A775" i="4"/>
  <c r="B774" i="4"/>
  <c r="A775" i="5" l="1"/>
  <c r="B774" i="5"/>
  <c r="A776" i="4"/>
  <c r="B775" i="4"/>
  <c r="A776" i="5" l="1"/>
  <c r="B775" i="5"/>
  <c r="A777" i="4"/>
  <c r="B776" i="4"/>
  <c r="A777" i="5" l="1"/>
  <c r="B776" i="5"/>
  <c r="A778" i="4"/>
  <c r="B777" i="4"/>
  <c r="B777" i="5" l="1"/>
  <c r="A778" i="5"/>
  <c r="A779" i="4"/>
  <c r="B778" i="4"/>
  <c r="A779" i="5" l="1"/>
  <c r="B778" i="5"/>
  <c r="A780" i="4"/>
  <c r="B779" i="4"/>
  <c r="A780" i="5" l="1"/>
  <c r="B779" i="5"/>
  <c r="A781" i="4"/>
  <c r="B780" i="4"/>
  <c r="A781" i="5" l="1"/>
  <c r="B780" i="5"/>
  <c r="A782" i="4"/>
  <c r="B781" i="4"/>
  <c r="A782" i="5" l="1"/>
  <c r="B781" i="5"/>
  <c r="A783" i="4"/>
  <c r="B782" i="4"/>
  <c r="A783" i="5" l="1"/>
  <c r="B782" i="5"/>
  <c r="A784" i="4"/>
  <c r="B783" i="4"/>
  <c r="A784" i="5" l="1"/>
  <c r="B783" i="5"/>
  <c r="A785" i="4"/>
  <c r="B784" i="4"/>
  <c r="A785" i="5" l="1"/>
  <c r="B784" i="5"/>
  <c r="A786" i="4"/>
  <c r="B785" i="4"/>
  <c r="B785" i="5" l="1"/>
  <c r="A786" i="5"/>
  <c r="A787" i="4"/>
  <c r="B786" i="4"/>
  <c r="A787" i="5" l="1"/>
  <c r="B786" i="5"/>
  <c r="A788" i="4"/>
  <c r="B787" i="4"/>
  <c r="A788" i="5" l="1"/>
  <c r="B787" i="5"/>
  <c r="A789" i="4"/>
  <c r="B788" i="4"/>
  <c r="A789" i="5" l="1"/>
  <c r="B788" i="5"/>
  <c r="A790" i="4"/>
  <c r="B789" i="4"/>
  <c r="A790" i="5" l="1"/>
  <c r="B789" i="5"/>
  <c r="A791" i="4"/>
  <c r="B790" i="4"/>
  <c r="A791" i="5" l="1"/>
  <c r="B790" i="5"/>
  <c r="A792" i="4"/>
  <c r="B791" i="4"/>
  <c r="A792" i="5" l="1"/>
  <c r="B791" i="5"/>
  <c r="A793" i="4"/>
  <c r="B792" i="4"/>
  <c r="A793" i="5" l="1"/>
  <c r="B792" i="5"/>
  <c r="A794" i="4"/>
  <c r="B793" i="4"/>
  <c r="B793" i="5" l="1"/>
  <c r="A794" i="5"/>
  <c r="A795" i="4"/>
  <c r="B794" i="4"/>
  <c r="A795" i="5" l="1"/>
  <c r="B794" i="5"/>
  <c r="A796" i="4"/>
  <c r="B795" i="4"/>
  <c r="A796" i="5" l="1"/>
  <c r="B795" i="5"/>
  <c r="A797" i="4"/>
  <c r="B796" i="4"/>
  <c r="A797" i="5" l="1"/>
  <c r="B796" i="5"/>
  <c r="A798" i="4"/>
  <c r="B797" i="4"/>
  <c r="A798" i="5" l="1"/>
  <c r="B797" i="5"/>
  <c r="A799" i="4"/>
  <c r="B798" i="4"/>
  <c r="A799" i="5" l="1"/>
  <c r="B798" i="5"/>
  <c r="A800" i="4"/>
  <c r="B799" i="4"/>
  <c r="A800" i="5" l="1"/>
  <c r="B799" i="5"/>
  <c r="A801" i="4"/>
  <c r="B800" i="4"/>
  <c r="A801" i="5" l="1"/>
  <c r="B800" i="5"/>
  <c r="A802" i="4"/>
  <c r="B801" i="4"/>
  <c r="B801" i="5" l="1"/>
  <c r="A802" i="5"/>
  <c r="A803" i="4"/>
  <c r="B802" i="4"/>
  <c r="A803" i="5" l="1"/>
  <c r="B802" i="5"/>
  <c r="A804" i="4"/>
  <c r="B803" i="4"/>
  <c r="A804" i="5" l="1"/>
  <c r="B803" i="5"/>
  <c r="A805" i="4"/>
  <c r="B804" i="4"/>
  <c r="A805" i="5" l="1"/>
  <c r="B804" i="5"/>
  <c r="A806" i="4"/>
  <c r="B805" i="4"/>
  <c r="A806" i="5" l="1"/>
  <c r="B805" i="5"/>
  <c r="A807" i="4"/>
  <c r="B806" i="4"/>
  <c r="A807" i="5" l="1"/>
  <c r="B806" i="5"/>
  <c r="A808" i="4"/>
  <c r="B807" i="4"/>
  <c r="A808" i="5" l="1"/>
  <c r="B807" i="5"/>
  <c r="A809" i="4"/>
  <c r="B808" i="4"/>
  <c r="A809" i="5" l="1"/>
  <c r="B808" i="5"/>
  <c r="A810" i="4"/>
  <c r="B809" i="4"/>
  <c r="B809" i="5" l="1"/>
  <c r="A810" i="5"/>
  <c r="A811" i="4"/>
  <c r="B810" i="4"/>
  <c r="A811" i="5" l="1"/>
  <c r="B810" i="5"/>
  <c r="A812" i="4"/>
  <c r="B811" i="4"/>
  <c r="A812" i="5" l="1"/>
  <c r="B811" i="5"/>
  <c r="A813" i="4"/>
  <c r="B812" i="4"/>
  <c r="A813" i="5" l="1"/>
  <c r="B812" i="5"/>
  <c r="A814" i="4"/>
  <c r="B813" i="4"/>
  <c r="A814" i="5" l="1"/>
  <c r="B813" i="5"/>
  <c r="A815" i="4"/>
  <c r="B814" i="4"/>
  <c r="A815" i="5" l="1"/>
  <c r="B814" i="5"/>
  <c r="A816" i="4"/>
  <c r="B815" i="4"/>
  <c r="A816" i="5" l="1"/>
  <c r="B815" i="5"/>
  <c r="A817" i="4"/>
  <c r="B816" i="4"/>
  <c r="A817" i="5" l="1"/>
  <c r="B816" i="5"/>
  <c r="A818" i="4"/>
  <c r="B817" i="4"/>
  <c r="B817" i="5" l="1"/>
  <c r="A818" i="5"/>
  <c r="A819" i="4"/>
  <c r="B818" i="4"/>
  <c r="A819" i="5" l="1"/>
  <c r="B818" i="5"/>
  <c r="A820" i="4"/>
  <c r="B819" i="4"/>
  <c r="A820" i="5" l="1"/>
  <c r="B819" i="5"/>
  <c r="A821" i="4"/>
  <c r="B820" i="4"/>
  <c r="A821" i="5" l="1"/>
  <c r="B820" i="5"/>
  <c r="A822" i="4"/>
  <c r="B821" i="4"/>
  <c r="A822" i="5" l="1"/>
  <c r="B821" i="5"/>
  <c r="A823" i="4"/>
  <c r="B822" i="4"/>
  <c r="A823" i="5" l="1"/>
  <c r="B822" i="5"/>
  <c r="A824" i="4"/>
  <c r="B823" i="4"/>
  <c r="A824" i="5" l="1"/>
  <c r="B823" i="5"/>
  <c r="A825" i="4"/>
  <c r="B824" i="4"/>
  <c r="A825" i="5" l="1"/>
  <c r="B824" i="5"/>
  <c r="A826" i="4"/>
  <c r="B825" i="4"/>
  <c r="B825" i="5" l="1"/>
  <c r="A826" i="5"/>
  <c r="A827" i="4"/>
  <c r="B826" i="4"/>
  <c r="A827" i="5" l="1"/>
  <c r="B826" i="5"/>
  <c r="A828" i="4"/>
  <c r="B827" i="4"/>
  <c r="A828" i="5" l="1"/>
  <c r="B827" i="5"/>
  <c r="A829" i="4"/>
  <c r="B828" i="4"/>
  <c r="A829" i="5" l="1"/>
  <c r="B828" i="5"/>
  <c r="A830" i="4"/>
  <c r="B829" i="4"/>
  <c r="A830" i="5" l="1"/>
  <c r="B829" i="5"/>
  <c r="A831" i="4"/>
  <c r="B830" i="4"/>
  <c r="A831" i="5" l="1"/>
  <c r="B830" i="5"/>
  <c r="A832" i="4"/>
  <c r="B831" i="4"/>
  <c r="A832" i="5" l="1"/>
  <c r="B831" i="5"/>
  <c r="A833" i="4"/>
  <c r="B832" i="4"/>
  <c r="A833" i="5" l="1"/>
  <c r="B832" i="5"/>
  <c r="A834" i="4"/>
  <c r="B833" i="4"/>
  <c r="B833" i="5" l="1"/>
  <c r="A834" i="5"/>
  <c r="A835" i="4"/>
  <c r="B834" i="4"/>
  <c r="A835" i="5" l="1"/>
  <c r="B834" i="5"/>
  <c r="A836" i="4"/>
  <c r="B835" i="4"/>
  <c r="A836" i="5" l="1"/>
  <c r="B835" i="5"/>
  <c r="A837" i="4"/>
  <c r="B836" i="4"/>
  <c r="A837" i="5" l="1"/>
  <c r="B836" i="5"/>
  <c r="A838" i="4"/>
  <c r="B837" i="4"/>
  <c r="A838" i="5" l="1"/>
  <c r="B837" i="5"/>
  <c r="A839" i="4"/>
  <c r="B838" i="4"/>
  <c r="A839" i="5" l="1"/>
  <c r="B838" i="5"/>
  <c r="A840" i="4"/>
  <c r="B839" i="4"/>
  <c r="A840" i="5" l="1"/>
  <c r="B839" i="5"/>
  <c r="A841" i="4"/>
  <c r="B840" i="4"/>
  <c r="A841" i="5" l="1"/>
  <c r="B840" i="5"/>
  <c r="A842" i="4"/>
  <c r="B841" i="4"/>
  <c r="B841" i="5" l="1"/>
  <c r="A842" i="5"/>
  <c r="A843" i="4"/>
  <c r="B842" i="4"/>
  <c r="A843" i="5" l="1"/>
  <c r="B842" i="5"/>
  <c r="A844" i="4"/>
  <c r="B843" i="4"/>
  <c r="A844" i="5" l="1"/>
  <c r="B843" i="5"/>
  <c r="A845" i="4"/>
  <c r="B844" i="4"/>
  <c r="A845" i="5" l="1"/>
  <c r="B844" i="5"/>
  <c r="A846" i="4"/>
  <c r="B845" i="4"/>
  <c r="A846" i="5" l="1"/>
  <c r="B845" i="5"/>
  <c r="A847" i="4"/>
  <c r="B846" i="4"/>
  <c r="A847" i="5" l="1"/>
  <c r="B846" i="5"/>
  <c r="A848" i="4"/>
  <c r="B847" i="4"/>
  <c r="A848" i="5" l="1"/>
  <c r="B847" i="5"/>
  <c r="A849" i="4"/>
  <c r="B848" i="4"/>
  <c r="A849" i="5" l="1"/>
  <c r="B848" i="5"/>
  <c r="A850" i="4"/>
  <c r="B849" i="4"/>
  <c r="B849" i="5" l="1"/>
  <c r="A850" i="5"/>
  <c r="A851" i="4"/>
  <c r="B850" i="4"/>
  <c r="A851" i="5" l="1"/>
  <c r="B850" i="5"/>
  <c r="A852" i="4"/>
  <c r="B851" i="4"/>
  <c r="A852" i="5" l="1"/>
  <c r="B851" i="5"/>
  <c r="A853" i="4"/>
  <c r="B852" i="4"/>
  <c r="A853" i="5" l="1"/>
  <c r="B852" i="5"/>
  <c r="A854" i="4"/>
  <c r="B853" i="4"/>
  <c r="A854" i="5" l="1"/>
  <c r="B853" i="5"/>
  <c r="A855" i="4"/>
  <c r="B854" i="4"/>
  <c r="A855" i="5" l="1"/>
  <c r="B854" i="5"/>
  <c r="A856" i="4"/>
  <c r="B855" i="4"/>
  <c r="A856" i="5" l="1"/>
  <c r="B855" i="5"/>
  <c r="A857" i="4"/>
  <c r="B856" i="4"/>
  <c r="A857" i="5" l="1"/>
  <c r="B856" i="5"/>
  <c r="A858" i="4"/>
  <c r="B857" i="4"/>
  <c r="B857" i="5" l="1"/>
  <c r="A858" i="5"/>
  <c r="A859" i="4"/>
  <c r="B858" i="4"/>
  <c r="A859" i="5" l="1"/>
  <c r="B858" i="5"/>
  <c r="A860" i="4"/>
  <c r="B859" i="4"/>
  <c r="A860" i="5" l="1"/>
  <c r="B859" i="5"/>
  <c r="A861" i="4"/>
  <c r="B860" i="4"/>
  <c r="A861" i="5" l="1"/>
  <c r="B860" i="5"/>
  <c r="A862" i="4"/>
  <c r="B861" i="4"/>
  <c r="A862" i="5" l="1"/>
  <c r="B861" i="5"/>
  <c r="A863" i="4"/>
  <c r="B862" i="4"/>
  <c r="A863" i="5" l="1"/>
  <c r="B862" i="5"/>
  <c r="A864" i="4"/>
  <c r="B863" i="4"/>
  <c r="A864" i="5" l="1"/>
  <c r="B863" i="5"/>
  <c r="A865" i="4"/>
  <c r="B864" i="4"/>
  <c r="A865" i="5" l="1"/>
  <c r="B864" i="5"/>
  <c r="A866" i="4"/>
  <c r="B865" i="4"/>
  <c r="B865" i="5" l="1"/>
  <c r="A866" i="5"/>
  <c r="A867" i="4"/>
  <c r="B866" i="4"/>
  <c r="A867" i="5" l="1"/>
  <c r="B866" i="5"/>
  <c r="A868" i="4"/>
  <c r="B867" i="4"/>
  <c r="A868" i="5" l="1"/>
  <c r="B867" i="5"/>
  <c r="A869" i="4"/>
  <c r="B868" i="4"/>
  <c r="A869" i="5" l="1"/>
  <c r="B868" i="5"/>
  <c r="A870" i="4"/>
  <c r="B869" i="4"/>
  <c r="A870" i="5" l="1"/>
  <c r="B869" i="5"/>
  <c r="A871" i="4"/>
  <c r="B870" i="4"/>
  <c r="A871" i="5" l="1"/>
  <c r="B870" i="5"/>
  <c r="A872" i="4"/>
  <c r="B871" i="4"/>
  <c r="A872" i="5" l="1"/>
  <c r="B871" i="5"/>
  <c r="A873" i="4"/>
  <c r="B872" i="4"/>
  <c r="A873" i="5" l="1"/>
  <c r="B872" i="5"/>
  <c r="A874" i="4"/>
  <c r="B873" i="4"/>
  <c r="B873" i="5" l="1"/>
  <c r="A874" i="5"/>
  <c r="A875" i="4"/>
  <c r="B874" i="4"/>
  <c r="A875" i="5" l="1"/>
  <c r="B874" i="5"/>
  <c r="A876" i="4"/>
  <c r="B875" i="4"/>
  <c r="A876" i="5" l="1"/>
  <c r="B875" i="5"/>
  <c r="A877" i="4"/>
  <c r="B876" i="4"/>
  <c r="A877" i="5" l="1"/>
  <c r="B876" i="5"/>
  <c r="A878" i="4"/>
  <c r="B877" i="4"/>
  <c r="A878" i="5" l="1"/>
  <c r="B877" i="5"/>
  <c r="A879" i="4"/>
  <c r="B878" i="4"/>
  <c r="A879" i="5" l="1"/>
  <c r="B878" i="5"/>
  <c r="A880" i="4"/>
  <c r="B879" i="4"/>
  <c r="A880" i="5" l="1"/>
  <c r="B879" i="5"/>
  <c r="A881" i="4"/>
  <c r="B880" i="4"/>
  <c r="A881" i="5" l="1"/>
  <c r="B880" i="5"/>
  <c r="A882" i="4"/>
  <c r="B881" i="4"/>
  <c r="B881" i="5" l="1"/>
  <c r="A882" i="5"/>
  <c r="A883" i="4"/>
  <c r="B882" i="4"/>
  <c r="A883" i="5" l="1"/>
  <c r="B882" i="5"/>
  <c r="A884" i="4"/>
  <c r="B883" i="4"/>
  <c r="A884" i="5" l="1"/>
  <c r="B883" i="5"/>
  <c r="A885" i="4"/>
  <c r="B884" i="4"/>
  <c r="A885" i="5" l="1"/>
  <c r="B884" i="5"/>
  <c r="A886" i="4"/>
  <c r="B885" i="4"/>
  <c r="A886" i="5" l="1"/>
  <c r="B885" i="5"/>
  <c r="A887" i="4"/>
  <c r="B886" i="4"/>
  <c r="A887" i="5" l="1"/>
  <c r="B886" i="5"/>
  <c r="A888" i="4"/>
  <c r="B887" i="4"/>
  <c r="A888" i="5" l="1"/>
  <c r="B887" i="5"/>
  <c r="A889" i="4"/>
  <c r="B888" i="4"/>
  <c r="A889" i="5" l="1"/>
  <c r="B888" i="5"/>
  <c r="A890" i="4"/>
  <c r="B889" i="4"/>
  <c r="B889" i="5" l="1"/>
  <c r="A890" i="5"/>
  <c r="A891" i="4"/>
  <c r="B890" i="4"/>
  <c r="A891" i="5" l="1"/>
  <c r="B890" i="5"/>
  <c r="A892" i="4"/>
  <c r="B891" i="4"/>
  <c r="A892" i="5" l="1"/>
  <c r="B891" i="5"/>
  <c r="A893" i="4"/>
  <c r="B892" i="4"/>
  <c r="A893" i="5" l="1"/>
  <c r="B892" i="5"/>
  <c r="A894" i="4"/>
  <c r="B893" i="4"/>
  <c r="A894" i="5" l="1"/>
  <c r="B893" i="5"/>
  <c r="A895" i="4"/>
  <c r="B894" i="4"/>
  <c r="A895" i="5" l="1"/>
  <c r="B894" i="5"/>
  <c r="A896" i="4"/>
  <c r="B895" i="4"/>
  <c r="A896" i="5" l="1"/>
  <c r="B895" i="5"/>
  <c r="A897" i="4"/>
  <c r="B896" i="4"/>
  <c r="A897" i="5" l="1"/>
  <c r="B896" i="5"/>
  <c r="A898" i="4"/>
  <c r="B897" i="4"/>
  <c r="B897" i="5" l="1"/>
  <c r="A898" i="5"/>
  <c r="A899" i="4"/>
  <c r="B898" i="4"/>
  <c r="A899" i="5" l="1"/>
  <c r="B898" i="5"/>
  <c r="A900" i="4"/>
  <c r="B899" i="4"/>
  <c r="A900" i="5" l="1"/>
  <c r="B899" i="5"/>
  <c r="A901" i="4"/>
  <c r="B900" i="4"/>
  <c r="A901" i="5" l="1"/>
  <c r="B900" i="5"/>
  <c r="A902" i="4"/>
  <c r="B901" i="4"/>
  <c r="A902" i="5" l="1"/>
  <c r="B901" i="5"/>
  <c r="A903" i="4"/>
  <c r="B902" i="4"/>
  <c r="A903" i="5" l="1"/>
  <c r="B902" i="5"/>
  <c r="A904" i="4"/>
  <c r="B903" i="4"/>
  <c r="A904" i="5" l="1"/>
  <c r="B903" i="5"/>
  <c r="A905" i="4"/>
  <c r="B904" i="4"/>
  <c r="A905" i="5" l="1"/>
  <c r="B904" i="5"/>
  <c r="A906" i="4"/>
  <c r="B905" i="4"/>
  <c r="B905" i="5" l="1"/>
  <c r="A906" i="5"/>
  <c r="A907" i="4"/>
  <c r="B906" i="4"/>
  <c r="A907" i="5" l="1"/>
  <c r="B906" i="5"/>
  <c r="A908" i="4"/>
  <c r="B907" i="4"/>
  <c r="A908" i="5" l="1"/>
  <c r="B907" i="5"/>
  <c r="A909" i="4"/>
  <c r="B908" i="4"/>
  <c r="A909" i="5" l="1"/>
  <c r="B908" i="5"/>
  <c r="A910" i="4"/>
  <c r="B909" i="4"/>
  <c r="A910" i="5" l="1"/>
  <c r="B909" i="5"/>
  <c r="A911" i="4"/>
  <c r="B910" i="4"/>
  <c r="A911" i="5" l="1"/>
  <c r="B910" i="5"/>
  <c r="A912" i="4"/>
  <c r="B911" i="4"/>
  <c r="A912" i="5" l="1"/>
  <c r="B911" i="5"/>
  <c r="A913" i="4"/>
  <c r="B912" i="4"/>
  <c r="A913" i="5" l="1"/>
  <c r="B912" i="5"/>
  <c r="A914" i="4"/>
  <c r="B913" i="4"/>
  <c r="B913" i="5" l="1"/>
  <c r="A914" i="5"/>
  <c r="A915" i="4"/>
  <c r="B914" i="4"/>
  <c r="A915" i="5" l="1"/>
  <c r="B914" i="5"/>
  <c r="A916" i="4"/>
  <c r="B915" i="4"/>
  <c r="A916" i="5" l="1"/>
  <c r="B915" i="5"/>
  <c r="A917" i="4"/>
  <c r="B916" i="4"/>
  <c r="A917" i="5" l="1"/>
  <c r="B916" i="5"/>
  <c r="A918" i="4"/>
  <c r="B917" i="4"/>
  <c r="A918" i="5" l="1"/>
  <c r="B917" i="5"/>
  <c r="A919" i="4"/>
  <c r="B918" i="4"/>
  <c r="A919" i="5" l="1"/>
  <c r="B918" i="5"/>
  <c r="A920" i="4"/>
  <c r="B919" i="4"/>
  <c r="A920" i="5" l="1"/>
  <c r="B919" i="5"/>
  <c r="A921" i="4"/>
  <c r="B920" i="4"/>
  <c r="A921" i="5" l="1"/>
  <c r="B920" i="5"/>
  <c r="A922" i="4"/>
  <c r="B921" i="4"/>
  <c r="B921" i="5" l="1"/>
  <c r="A922" i="5"/>
  <c r="A923" i="4"/>
  <c r="B922" i="4"/>
  <c r="A923" i="5" l="1"/>
  <c r="B922" i="5"/>
  <c r="A924" i="4"/>
  <c r="B923" i="4"/>
  <c r="A924" i="5" l="1"/>
  <c r="B923" i="5"/>
  <c r="A925" i="4"/>
  <c r="B924" i="4"/>
  <c r="A925" i="5" l="1"/>
  <c r="B924" i="5"/>
  <c r="A926" i="4"/>
  <c r="B925" i="4"/>
  <c r="A926" i="5" l="1"/>
  <c r="B925" i="5"/>
  <c r="A927" i="4"/>
  <c r="B926" i="4"/>
  <c r="A927" i="5" l="1"/>
  <c r="B926" i="5"/>
  <c r="A928" i="4"/>
  <c r="B927" i="4"/>
  <c r="A928" i="5" l="1"/>
  <c r="B927" i="5"/>
  <c r="A929" i="4"/>
  <c r="B928" i="4"/>
  <c r="A929" i="5" l="1"/>
  <c r="B928" i="5"/>
  <c r="A930" i="4"/>
  <c r="B929" i="4"/>
  <c r="B929" i="5" l="1"/>
  <c r="A930" i="5"/>
  <c r="A931" i="4"/>
  <c r="B930" i="4"/>
  <c r="A931" i="5" l="1"/>
  <c r="B930" i="5"/>
  <c r="A932" i="4"/>
  <c r="B931" i="4"/>
  <c r="A932" i="5" l="1"/>
  <c r="B931" i="5"/>
  <c r="A933" i="4"/>
  <c r="B932" i="4"/>
  <c r="A933" i="5" l="1"/>
  <c r="B932" i="5"/>
  <c r="A934" i="4"/>
  <c r="B933" i="4"/>
  <c r="A934" i="5" l="1"/>
  <c r="B933" i="5"/>
  <c r="A935" i="4"/>
  <c r="B934" i="4"/>
  <c r="A935" i="5" l="1"/>
  <c r="B934" i="5"/>
  <c r="A936" i="4"/>
  <c r="B935" i="4"/>
  <c r="A936" i="5" l="1"/>
  <c r="B935" i="5"/>
  <c r="A937" i="4"/>
  <c r="B936" i="4"/>
  <c r="A937" i="5" l="1"/>
  <c r="B936" i="5"/>
  <c r="A938" i="4"/>
  <c r="B937" i="4"/>
  <c r="B937" i="5" l="1"/>
  <c r="A938" i="5"/>
  <c r="A939" i="4"/>
  <c r="B938" i="4"/>
  <c r="A939" i="5" l="1"/>
  <c r="B938" i="5"/>
  <c r="A940" i="4"/>
  <c r="B939" i="4"/>
  <c r="A940" i="5" l="1"/>
  <c r="B939" i="5"/>
  <c r="A941" i="4"/>
  <c r="B940" i="4"/>
  <c r="A941" i="5" l="1"/>
  <c r="B940" i="5"/>
  <c r="A942" i="4"/>
  <c r="B941" i="4"/>
  <c r="A942" i="5" l="1"/>
  <c r="B941" i="5"/>
  <c r="A943" i="4"/>
  <c r="B942" i="4"/>
  <c r="A943" i="5" l="1"/>
  <c r="B942" i="5"/>
  <c r="A944" i="4"/>
  <c r="B943" i="4"/>
  <c r="A944" i="5" l="1"/>
  <c r="B943" i="5"/>
  <c r="A945" i="4"/>
  <c r="B944" i="4"/>
  <c r="A945" i="5" l="1"/>
  <c r="B944" i="5"/>
  <c r="A946" i="4"/>
  <c r="B945" i="4"/>
  <c r="B945" i="5" l="1"/>
  <c r="A946" i="5"/>
  <c r="A947" i="4"/>
  <c r="B946" i="4"/>
  <c r="A947" i="5" l="1"/>
  <c r="B946" i="5"/>
  <c r="A948" i="4"/>
  <c r="B947" i="4"/>
  <c r="A948" i="5" l="1"/>
  <c r="B947" i="5"/>
  <c r="A949" i="4"/>
  <c r="B948" i="4"/>
  <c r="A949" i="5" l="1"/>
  <c r="B948" i="5"/>
  <c r="A950" i="4"/>
  <c r="B949" i="4"/>
  <c r="A950" i="5" l="1"/>
  <c r="B949" i="5"/>
  <c r="A951" i="4"/>
  <c r="B950" i="4"/>
  <c r="A951" i="5" l="1"/>
  <c r="B950" i="5"/>
  <c r="A952" i="4"/>
  <c r="B951" i="4"/>
  <c r="A952" i="5" l="1"/>
  <c r="B951" i="5"/>
  <c r="A953" i="4"/>
  <c r="B952" i="4"/>
  <c r="A953" i="5" l="1"/>
  <c r="B952" i="5"/>
  <c r="A954" i="4"/>
  <c r="B953" i="4"/>
  <c r="B953" i="5" l="1"/>
  <c r="A954" i="5"/>
  <c r="A955" i="4"/>
  <c r="B954" i="4"/>
  <c r="A955" i="5" l="1"/>
  <c r="B954" i="5"/>
  <c r="A956" i="4"/>
  <c r="B955" i="4"/>
  <c r="A956" i="5" l="1"/>
  <c r="B955" i="5"/>
  <c r="A957" i="4"/>
  <c r="B956" i="4"/>
  <c r="A957" i="5" l="1"/>
  <c r="B956" i="5"/>
  <c r="A958" i="4"/>
  <c r="B957" i="4"/>
  <c r="A958" i="5" l="1"/>
  <c r="B957" i="5"/>
  <c r="A959" i="4"/>
  <c r="B958" i="4"/>
  <c r="A959" i="5" l="1"/>
  <c r="B958" i="5"/>
  <c r="A960" i="4"/>
  <c r="B959" i="4"/>
  <c r="A960" i="5" l="1"/>
  <c r="B959" i="5"/>
  <c r="A961" i="4"/>
  <c r="B960" i="4"/>
  <c r="A961" i="5" l="1"/>
  <c r="B960" i="5"/>
  <c r="A962" i="4"/>
  <c r="B961" i="4"/>
  <c r="B961" i="5" l="1"/>
  <c r="A962" i="5"/>
  <c r="A963" i="4"/>
  <c r="B962" i="4"/>
  <c r="A963" i="5" l="1"/>
  <c r="B962" i="5"/>
  <c r="A964" i="4"/>
  <c r="B963" i="4"/>
  <c r="A964" i="5" l="1"/>
  <c r="B963" i="5"/>
  <c r="A965" i="4"/>
  <c r="B964" i="4"/>
  <c r="A965" i="5" l="1"/>
  <c r="B964" i="5"/>
  <c r="A966" i="4"/>
  <c r="B965" i="4"/>
  <c r="A966" i="5" l="1"/>
  <c r="B965" i="5"/>
  <c r="A967" i="4"/>
  <c r="B966" i="4"/>
  <c r="A967" i="5" l="1"/>
  <c r="B966" i="5"/>
  <c r="A968" i="4"/>
  <c r="B967" i="4"/>
  <c r="A968" i="5" l="1"/>
  <c r="B967" i="5"/>
  <c r="A969" i="4"/>
  <c r="B968" i="4"/>
  <c r="A969" i="5" l="1"/>
  <c r="B968" i="5"/>
  <c r="A970" i="4"/>
  <c r="B969" i="4"/>
  <c r="B969" i="5" l="1"/>
  <c r="A970" i="5"/>
  <c r="A971" i="4"/>
  <c r="B970" i="4"/>
  <c r="A971" i="5" l="1"/>
  <c r="B970" i="5"/>
  <c r="A972" i="4"/>
  <c r="B971" i="4"/>
  <c r="A972" i="5" l="1"/>
  <c r="B971" i="5"/>
  <c r="A973" i="4"/>
  <c r="B972" i="4"/>
  <c r="A973" i="5" l="1"/>
  <c r="B972" i="5"/>
  <c r="A974" i="4"/>
  <c r="B973" i="4"/>
  <c r="A974" i="5" l="1"/>
  <c r="B973" i="5"/>
  <c r="A975" i="4"/>
  <c r="B974" i="4"/>
  <c r="A975" i="5" l="1"/>
  <c r="B974" i="5"/>
  <c r="A976" i="4"/>
  <c r="B975" i="4"/>
  <c r="A976" i="5" l="1"/>
  <c r="B975" i="5"/>
  <c r="A977" i="4"/>
  <c r="B976" i="4"/>
  <c r="A977" i="5" l="1"/>
  <c r="B976" i="5"/>
  <c r="A978" i="4"/>
  <c r="B977" i="4"/>
  <c r="B977" i="5" l="1"/>
  <c r="A978" i="5"/>
  <c r="A979" i="4"/>
  <c r="B978" i="4"/>
  <c r="A979" i="5" l="1"/>
  <c r="B978" i="5"/>
  <c r="A980" i="4"/>
  <c r="B979" i="4"/>
  <c r="A980" i="5" l="1"/>
  <c r="B979" i="5"/>
  <c r="A981" i="4"/>
  <c r="B980" i="4"/>
  <c r="A981" i="5" l="1"/>
  <c r="B980" i="5"/>
  <c r="A982" i="4"/>
  <c r="B981" i="4"/>
  <c r="A982" i="5" l="1"/>
  <c r="B981" i="5"/>
  <c r="A983" i="4"/>
  <c r="B982" i="4"/>
  <c r="A983" i="5" l="1"/>
  <c r="B982" i="5"/>
  <c r="A984" i="4"/>
  <c r="B983" i="4"/>
  <c r="A984" i="5" l="1"/>
  <c r="B983" i="5"/>
  <c r="A985" i="4"/>
  <c r="B984" i="4"/>
  <c r="A985" i="5" l="1"/>
  <c r="B984" i="5"/>
  <c r="A986" i="4"/>
  <c r="B985" i="4"/>
  <c r="B985" i="5" l="1"/>
  <c r="A986" i="5"/>
  <c r="A987" i="4"/>
  <c r="B986" i="4"/>
  <c r="A987" i="5" l="1"/>
  <c r="B986" i="5"/>
  <c r="A988" i="4"/>
  <c r="B987" i="4"/>
  <c r="A988" i="5" l="1"/>
  <c r="B987" i="5"/>
  <c r="A989" i="4"/>
  <c r="B988" i="4"/>
  <c r="A989" i="5" l="1"/>
  <c r="B988" i="5"/>
  <c r="A990" i="4"/>
  <c r="B989" i="4"/>
  <c r="A990" i="5" l="1"/>
  <c r="B989" i="5"/>
  <c r="A991" i="4"/>
  <c r="B990" i="4"/>
  <c r="A991" i="5" l="1"/>
  <c r="B990" i="5"/>
  <c r="A992" i="4"/>
  <c r="B991" i="4"/>
  <c r="A992" i="5" l="1"/>
  <c r="B991" i="5"/>
  <c r="A993" i="4"/>
  <c r="B992" i="4"/>
  <c r="A993" i="5" l="1"/>
  <c r="B992" i="5"/>
  <c r="A994" i="4"/>
  <c r="B993" i="4"/>
  <c r="B993" i="5" l="1"/>
  <c r="A994" i="5"/>
  <c r="A995" i="4"/>
  <c r="B994" i="4"/>
  <c r="A995" i="5" l="1"/>
  <c r="B994" i="5"/>
  <c r="A996" i="4"/>
  <c r="B995" i="4"/>
  <c r="A996" i="5" l="1"/>
  <c r="B995" i="5"/>
  <c r="A997" i="4"/>
  <c r="B996" i="4"/>
  <c r="A997" i="5" l="1"/>
  <c r="B996" i="5"/>
  <c r="A998" i="4"/>
  <c r="B997" i="4"/>
  <c r="A998" i="5" l="1"/>
  <c r="B997" i="5"/>
  <c r="A999" i="4"/>
  <c r="B998" i="4"/>
  <c r="A999" i="5" l="1"/>
  <c r="B998" i="5"/>
  <c r="A1000" i="4"/>
  <c r="B999" i="4"/>
  <c r="A1000" i="5" l="1"/>
  <c r="B999" i="5"/>
  <c r="A1001" i="4"/>
  <c r="B1001" i="4" s="1"/>
  <c r="B1000" i="4"/>
  <c r="A1001" i="5" l="1"/>
  <c r="B1001" i="5" s="1"/>
  <c r="B1000" i="5"/>
</calcChain>
</file>

<file path=xl/sharedStrings.xml><?xml version="1.0" encoding="utf-8"?>
<sst xmlns="http://schemas.openxmlformats.org/spreadsheetml/2006/main" count="2161" uniqueCount="108">
  <si>
    <t>You want to categorize it like this:</t>
  </si>
  <si>
    <t>1.1 Question</t>
  </si>
  <si>
    <t>Amount Player Has:</t>
  </si>
  <si>
    <t>Category They Fall in:</t>
  </si>
  <si>
    <t>1.1 Solution</t>
  </si>
  <si>
    <t>SN</t>
  </si>
  <si>
    <t>Policy Number</t>
  </si>
  <si>
    <t>Category</t>
  </si>
  <si>
    <t>Policy Year</t>
  </si>
  <si>
    <t>Reported Year</t>
  </si>
  <si>
    <t>Paid Claim</t>
  </si>
  <si>
    <t>Motor</t>
  </si>
  <si>
    <t>Property</t>
  </si>
  <si>
    <t>Total Paid Claim Each Category</t>
  </si>
  <si>
    <t>Total Paid Claim Each Category Each Year</t>
  </si>
  <si>
    <t>Origin</t>
  </si>
  <si>
    <t>Lag</t>
  </si>
  <si>
    <t>Devlopment Triangle</t>
  </si>
  <si>
    <t>VlookUp</t>
  </si>
  <si>
    <t xml:space="preserve">Policy Number </t>
  </si>
  <si>
    <t>Claim Paid</t>
  </si>
  <si>
    <t>XlookUp</t>
  </si>
  <si>
    <t>Index Match</t>
  </si>
  <si>
    <t>Mortality Table</t>
  </si>
  <si>
    <t>Age</t>
  </si>
  <si>
    <t>Term</t>
  </si>
  <si>
    <t>qx</t>
  </si>
  <si>
    <t>Interest Rate</t>
  </si>
  <si>
    <t>Principal</t>
  </si>
  <si>
    <r>
      <t xml:space="preserve">Suppose cell contains the </t>
    </r>
    <r>
      <rPr>
        <b/>
        <sz val="12"/>
        <color theme="1"/>
        <rFont val="Amasis MT Pro"/>
        <family val="1"/>
      </rPr>
      <t>amount a player won or lost</t>
    </r>
    <r>
      <rPr>
        <sz val="12"/>
        <color theme="1"/>
        <rFont val="Amasis MT Pro"/>
        <family val="1"/>
      </rPr>
      <t>.</t>
    </r>
  </si>
  <si>
    <r>
      <t xml:space="preserve">If they </t>
    </r>
    <r>
      <rPr>
        <b/>
        <sz val="12"/>
        <color theme="1"/>
        <rFont val="Amasis MT Pro"/>
        <family val="1"/>
      </rPr>
      <t>won more than $1000</t>
    </r>
    <r>
      <rPr>
        <sz val="12"/>
        <color theme="1"/>
        <rFont val="Amasis MT Pro"/>
        <family val="1"/>
      </rPr>
      <t>, return "Big Win"</t>
    </r>
  </si>
  <si>
    <r>
      <t xml:space="preserve">If they </t>
    </r>
    <r>
      <rPr>
        <b/>
        <sz val="12"/>
        <color theme="1"/>
        <rFont val="Amasis MT Pro"/>
        <family val="1"/>
      </rPr>
      <t>won between $100 and $1000</t>
    </r>
    <r>
      <rPr>
        <sz val="12"/>
        <color theme="1"/>
        <rFont val="Amasis MT Pro"/>
        <family val="1"/>
      </rPr>
      <t>, return "Win"</t>
    </r>
  </si>
  <si>
    <r>
      <t xml:space="preserve">If they </t>
    </r>
    <r>
      <rPr>
        <b/>
        <sz val="12"/>
        <color theme="1"/>
        <rFont val="Amasis MT Pro"/>
        <family val="1"/>
      </rPr>
      <t>broke even (0)</t>
    </r>
    <r>
      <rPr>
        <sz val="12"/>
        <color theme="1"/>
        <rFont val="Amasis MT Pro"/>
        <family val="1"/>
      </rPr>
      <t>, return "Break Even"</t>
    </r>
  </si>
  <si>
    <r>
      <t xml:space="preserve">If they </t>
    </r>
    <r>
      <rPr>
        <b/>
        <sz val="12"/>
        <color theme="1"/>
        <rFont val="Amasis MT Pro"/>
        <family val="1"/>
      </rPr>
      <t>lost up to $-500</t>
    </r>
    <r>
      <rPr>
        <sz val="12"/>
        <color theme="1"/>
        <rFont val="Amasis MT Pro"/>
        <family val="1"/>
      </rPr>
      <t>, return "Loss"</t>
    </r>
  </si>
  <si>
    <r>
      <t xml:space="preserve">If they </t>
    </r>
    <r>
      <rPr>
        <b/>
        <sz val="12"/>
        <color theme="1"/>
        <rFont val="Amasis MT Pro"/>
        <family val="1"/>
      </rPr>
      <t>lost more than $-500</t>
    </r>
    <r>
      <rPr>
        <sz val="12"/>
        <color theme="1"/>
        <rFont val="Amasis MT Pro"/>
        <family val="1"/>
      </rPr>
      <t>, return "Big Loss"</t>
    </r>
  </si>
  <si>
    <t>BOE</t>
  </si>
  <si>
    <t>EOD</t>
  </si>
  <si>
    <t>Repayment</t>
  </si>
  <si>
    <t>Increment</t>
  </si>
  <si>
    <t>Loan Due</t>
  </si>
  <si>
    <t>term</t>
  </si>
  <si>
    <t>loan due</t>
  </si>
  <si>
    <t>interest amount</t>
  </si>
  <si>
    <t>repayment</t>
  </si>
  <si>
    <t>loan schedule</t>
  </si>
  <si>
    <t>Counter</t>
  </si>
  <si>
    <t>Date of Birth Calculator</t>
  </si>
  <si>
    <t>Input Your DOB</t>
  </si>
  <si>
    <t>Your Age is</t>
  </si>
  <si>
    <t>DATEDIF</t>
  </si>
  <si>
    <t>Calculate Age</t>
  </si>
  <si>
    <t>EOMONTH</t>
  </si>
  <si>
    <t>Returns Last Day of the month</t>
  </si>
  <si>
    <t>Last Day of the Month</t>
  </si>
  <si>
    <t>Input Date</t>
  </si>
  <si>
    <t>Last Day Date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</si>
  <si>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 xml:space="preserve">, </t>
    </r>
    <r>
      <rPr>
        <sz val="12"/>
        <color theme="6"/>
        <rFont val="Amasis MT Pro"/>
        <family val="1"/>
      </rPr>
      <t>End Date</t>
    </r>
    <r>
      <rPr>
        <sz val="12"/>
        <color theme="1"/>
        <rFont val="Amasis MT Pro"/>
        <family val="1"/>
      </rPr>
      <t xml:space="preserve">, </t>
    </r>
    <r>
      <rPr>
        <sz val="12"/>
        <color rgb="FFFF0000"/>
        <rFont val="Amasis MT Pro"/>
        <family val="1"/>
      </rPr>
      <t>"Y"</t>
    </r>
    <r>
      <rPr>
        <sz val="12"/>
        <color theme="1"/>
        <rFont val="Amasis MT Pro"/>
        <family val="1"/>
      </rPr>
      <t>)</t>
    </r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</si>
  <si>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>Months</t>
    </r>
    <r>
      <rPr>
        <sz val="12"/>
        <color theme="1"/>
        <rFont val="Amasis MT Pro"/>
        <family val="1"/>
      </rPr>
      <t>)</t>
    </r>
  </si>
  <si>
    <t>EDATE</t>
  </si>
  <si>
    <t>Returns the same day of the Months</t>
  </si>
  <si>
    <t>Function</t>
  </si>
  <si>
    <t>Inputs</t>
  </si>
  <si>
    <t>Used for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</si>
  <si>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 xml:space="preserve"> Months</t>
    </r>
    <r>
      <rPr>
        <sz val="12"/>
        <color theme="1"/>
        <rFont val="Amasis MT Pro"/>
        <family val="1"/>
      </rPr>
      <t>)</t>
    </r>
  </si>
  <si>
    <t>Next Month Same day</t>
  </si>
  <si>
    <t>Next Month Date</t>
  </si>
  <si>
    <t>Use Me to Move Around</t>
  </si>
  <si>
    <t>Sheets Name</t>
  </si>
  <si>
    <t>Click Me</t>
  </si>
  <si>
    <t>If</t>
  </si>
  <si>
    <t>Sum if</t>
  </si>
  <si>
    <t>LookUps</t>
  </si>
  <si>
    <t>Date Function</t>
  </si>
  <si>
    <t>Goal Seek</t>
  </si>
  <si>
    <t>Return Back</t>
  </si>
  <si>
    <t>Title</t>
  </si>
  <si>
    <t>Actuarial Bootcamp WorkBook</t>
  </si>
  <si>
    <t>Created by</t>
  </si>
  <si>
    <t>Krishna Kumar Shrestha</t>
  </si>
  <si>
    <t>Program</t>
  </si>
  <si>
    <t>Masters of Professional Sceince in Actuarial Science</t>
  </si>
  <si>
    <t>University</t>
  </si>
  <si>
    <t>Middle Tennessee State University</t>
  </si>
  <si>
    <t>Club</t>
  </si>
  <si>
    <t>Actuarial Mathematics Student Association</t>
  </si>
  <si>
    <t>📘 Purpose</t>
  </si>
  <si>
    <t>🔐 Enabling Macros</t>
  </si>
  <si>
    <t>In rare cases, if you see a security warning or features are not working:</t>
  </si>
  <si>
    <t>1. Right-click the Excel file → Properties</t>
  </si>
  <si>
    <t>Usually, Excel will run the workbook without requiring this step.</t>
  </si>
  <si>
    <t>🕒 Session Validity</t>
  </si>
  <si>
    <t>During this period, students are encouraged to:</t>
  </si>
  <si>
    <t>Attend in-person sessions</t>
  </si>
  <si>
    <t>Explore and understand each section</t>
  </si>
  <si>
    <t>Replicate and practice the examples independently</t>
  </si>
  <si>
    <t>🙌 Final Note</t>
  </si>
  <si>
    <r>
      <t xml:space="preserve">Understand and apply </t>
    </r>
    <r>
      <rPr>
        <b/>
        <sz val="12"/>
        <color theme="1"/>
        <rFont val="Amasis MT Pro"/>
        <family val="1"/>
      </rPr>
      <t>common Excel functions</t>
    </r>
    <r>
      <rPr>
        <sz val="12"/>
        <color theme="1"/>
        <rFont val="Amasis MT Pro"/>
        <family val="1"/>
      </rPr>
      <t xml:space="preserve"> used in Actuarial Science</t>
    </r>
  </si>
  <si>
    <r>
      <t xml:space="preserve">Explore </t>
    </r>
    <r>
      <rPr>
        <b/>
        <sz val="12"/>
        <color theme="1"/>
        <rFont val="Amasis MT Pro"/>
        <family val="1"/>
      </rPr>
      <t>examples and use cases</t>
    </r>
    <r>
      <rPr>
        <sz val="12"/>
        <color theme="1"/>
        <rFont val="Amasis MT Pro"/>
        <family val="1"/>
      </rPr>
      <t xml:space="preserve"> related to </t>
    </r>
    <r>
      <rPr>
        <b/>
        <sz val="12"/>
        <color theme="1"/>
        <rFont val="Amasis MT Pro"/>
        <family val="1"/>
      </rPr>
      <t>pricing and reserving</t>
    </r>
  </si>
  <si>
    <r>
      <t xml:space="preserve">To make full use of this workbook, </t>
    </r>
    <r>
      <rPr>
        <b/>
        <sz val="12"/>
        <color theme="1"/>
        <rFont val="Amasis MT Pro"/>
        <family val="1"/>
      </rPr>
      <t>macros must be enabled</t>
    </r>
    <r>
      <rPr>
        <sz val="12"/>
        <color theme="1"/>
        <rFont val="Amasis MT Pro"/>
        <family val="1"/>
      </rPr>
      <t>.</t>
    </r>
  </si>
  <si>
    <r>
      <t xml:space="preserve">2. At the bottom, click </t>
    </r>
    <r>
      <rPr>
        <b/>
        <sz val="12"/>
        <color theme="1"/>
        <rFont val="Amasis MT Pro"/>
        <family val="1"/>
      </rPr>
      <t>Unblock</t>
    </r>
    <r>
      <rPr>
        <sz val="12"/>
        <color theme="1"/>
        <rFont val="Amasis MT Pro"/>
        <family val="1"/>
      </rPr>
      <t>, if the option is available</t>
    </r>
  </si>
  <si>
    <r>
      <t xml:space="preserve">3. Open the workbook again and </t>
    </r>
    <r>
      <rPr>
        <b/>
        <sz val="12"/>
        <color theme="1"/>
        <rFont val="Amasis MT Pro"/>
        <family val="1"/>
      </rPr>
      <t>enable macros</t>
    </r>
    <r>
      <rPr>
        <sz val="12"/>
        <color theme="1"/>
        <rFont val="Amasis MT Pro"/>
        <family val="1"/>
      </rPr>
      <t xml:space="preserve"> when prompted</t>
    </r>
  </si>
  <si>
    <r>
      <t xml:space="preserve">📅 </t>
    </r>
    <r>
      <rPr>
        <b/>
        <sz val="12"/>
        <color theme="1"/>
        <rFont val="Amasis MT Pro"/>
        <family val="1"/>
      </rPr>
      <t>April 16, 2025 (3:00 PM)</t>
    </r>
  </si>
  <si>
    <r>
      <t xml:space="preserve">🕒 </t>
    </r>
    <r>
      <rPr>
        <b/>
        <sz val="12"/>
        <color theme="1"/>
        <rFont val="Amasis MT Pro"/>
        <family val="1"/>
      </rPr>
      <t>to April 26, 2025 (3:00 PM)</t>
    </r>
  </si>
  <si>
    <r>
      <t xml:space="preserve">This Excel workbook has been created as part of a </t>
    </r>
    <r>
      <rPr>
        <b/>
        <sz val="12"/>
        <color theme="1"/>
        <rFont val="Amasis MT Pro"/>
        <family val="1"/>
      </rPr>
      <t>bootcamp session</t>
    </r>
    <r>
      <rPr>
        <sz val="12"/>
        <color theme="1"/>
        <rFont val="Amasis MT Pro"/>
        <family val="1"/>
      </rPr>
      <t xml:space="preserve"> for students of </t>
    </r>
  </si>
  <si>
    <t>MTSU's Actuarial Mathematics Student Association. It is designed to help students:</t>
  </si>
  <si>
    <t>This workbook is a learning tool. Take time to go through each example carefully and understand the logic behind the formulas.</t>
  </si>
  <si>
    <t xml:space="preserve"> You're encouraged to build your own templates based on these examples to prepare for real actuarial work!</t>
  </si>
  <si>
    <r>
      <t xml:space="preserve">This workbook is intended for use during the </t>
    </r>
    <r>
      <rPr>
        <b/>
        <sz val="12"/>
        <color theme="1"/>
        <rFont val="Amasis MT Pro"/>
        <family val="1"/>
      </rPr>
      <t>Actuarial Bootcamp</t>
    </r>
    <r>
      <rPr>
        <sz val="12"/>
        <color theme="1"/>
        <rFont val="Amasis MT Pro"/>
        <family val="1"/>
      </rPr>
      <t xml:space="preserve"> and you will have </t>
    </r>
    <r>
      <rPr>
        <b/>
        <sz val="12"/>
        <color rgb="FFFF0000"/>
        <rFont val="Amasis MT Pro"/>
        <family val="1"/>
      </rPr>
      <t>Limited Access</t>
    </r>
    <r>
      <rPr>
        <sz val="12"/>
        <color theme="1"/>
        <rFont val="Amasis MT Pro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</si>
</sst>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Amasis MT Pro"/>
      <family val="1"/>
    </font>
    <font>
      <b/>
      <sz val="12"/>
      <color rgb="FF002060"/>
      <name val="Amasis MT Pro"/>
      <family val="1"/>
    </font>
    <font>
      <sz val="12"/>
      <color rgb="FF002060"/>
      <name val="Amasis MT Pro"/>
      <family val="1"/>
    </font>
    <font>
      <sz val="12"/>
      <color rgb="FF00B0F0"/>
      <name val="Amasis MT Pro"/>
      <family val="1"/>
    </font>
    <font>
      <b/>
      <sz val="16"/>
      <color rgb="FF002060"/>
      <name val="Amasis MT Pro"/>
      <family val="1"/>
    </font>
    <font>
      <b/>
      <sz val="12"/>
      <color theme="1"/>
      <name val="Amasis MT Pro"/>
      <family val="1"/>
    </font>
    <font>
      <b/>
      <sz val="18"/>
      <color rgb="FF002060"/>
      <name val="Amasis MT Pro"/>
      <family val="1"/>
    </font>
    <font>
      <sz val="12"/>
      <color rgb="FF0070C0"/>
      <name val="Amasis MT Pro"/>
      <family val="1"/>
    </font>
    <font>
      <sz val="12"/>
      <color rgb="FFFF0000"/>
      <name val="Amasis MT Pro"/>
      <family val="1"/>
    </font>
    <font>
      <sz val="12"/>
      <color rgb="FF00B0F0"/>
      <name val="Times New Roman"/>
      <family val="2"/>
    </font>
    <font>
      <sz val="12"/>
      <color theme="5"/>
      <name val="Amasis MT Pro"/>
      <family val="1"/>
    </font>
    <font>
      <sz val="12"/>
      <color theme="6"/>
      <name val="Amasis MT Pro"/>
      <family val="1"/>
    </font>
    <font>
      <sz val="12"/>
      <color theme="9" tint="-0.249977111117893"/>
      <name val="Amasis MT Pro"/>
      <family val="1"/>
    </font>
    <font>
      <u/>
      <sz val="12"/>
      <color theme="10"/>
      <name val="Times New Roman"/>
      <family val="2"/>
    </font>
    <font>
      <b/>
      <sz val="12"/>
      <color rgb="FFFF0000"/>
      <name val="Amasis MT Pro"/>
      <family val="1"/>
    </font>
    <font>
      <b/>
      <sz val="13.5"/>
      <color rgb="FF002060"/>
      <name val="Amasis MT Pro"/>
      <family val="1"/>
    </font>
    <font>
      <b/>
      <sz val="12"/>
      <color rgb="FF000F55"/>
      <name val="Amasis MT Pro"/>
      <family val="1"/>
    </font>
    <font>
      <sz val="12"/>
      <color rgb="FF000F55"/>
      <name val="Amasis MT Pro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Continuous"/>
    </xf>
    <xf numFmtId="0" fontId="3" fillId="2" borderId="1" xfId="0" applyFont="1" applyFill="1" applyBorder="1"/>
    <xf numFmtId="0" fontId="3" fillId="2" borderId="10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Continuous"/>
    </xf>
    <xf numFmtId="0" fontId="2" fillId="0" borderId="13" xfId="0" applyFont="1" applyBorder="1"/>
    <xf numFmtId="0" fontId="4" fillId="0" borderId="13" xfId="0" applyFont="1" applyBorder="1"/>
    <xf numFmtId="44" fontId="2" fillId="0" borderId="13" xfId="1" applyFont="1" applyBorder="1"/>
    <xf numFmtId="0" fontId="2" fillId="0" borderId="15" xfId="0" applyFont="1" applyBorder="1"/>
    <xf numFmtId="0" fontId="5" fillId="0" borderId="4" xfId="0" applyFont="1" applyBorder="1"/>
    <xf numFmtId="0" fontId="2" fillId="0" borderId="6" xfId="0" applyFont="1" applyBorder="1"/>
    <xf numFmtId="0" fontId="2" fillId="0" borderId="14" xfId="0" applyFont="1" applyBorder="1"/>
    <xf numFmtId="0" fontId="2" fillId="0" borderId="9" xfId="0" applyFont="1" applyBorder="1"/>
    <xf numFmtId="0" fontId="4" fillId="0" borderId="14" xfId="0" applyFont="1" applyBorder="1"/>
    <xf numFmtId="44" fontId="2" fillId="0" borderId="14" xfId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" xfId="0" applyFont="1" applyBorder="1"/>
    <xf numFmtId="0" fontId="0" fillId="0" borderId="9" xfId="0" applyBorder="1"/>
    <xf numFmtId="0" fontId="6" fillId="0" borderId="0" xfId="0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centerContinuous"/>
    </xf>
    <xf numFmtId="0" fontId="3" fillId="0" borderId="10" xfId="0" applyFont="1" applyBorder="1" applyAlignment="1">
      <alignment horizontal="centerContinuous"/>
    </xf>
    <xf numFmtId="0" fontId="3" fillId="0" borderId="12" xfId="0" applyFont="1" applyBorder="1" applyAlignment="1">
      <alignment horizontal="centerContinuous"/>
    </xf>
    <xf numFmtId="0" fontId="5" fillId="0" borderId="6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2" fontId="9" fillId="0" borderId="0" xfId="0" applyNumberFormat="1" applyFont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2" fillId="0" borderId="6" xfId="0" applyFont="1" applyBorder="1" applyAlignment="1">
      <alignment horizontal="centerContinuous"/>
    </xf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2" borderId="13" xfId="0" applyFont="1" applyFill="1" applyBorder="1"/>
    <xf numFmtId="0" fontId="2" fillId="2" borderId="11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0" borderId="1" xfId="0" applyFont="1" applyBorder="1"/>
    <xf numFmtId="0" fontId="3" fillId="0" borderId="11" xfId="0" applyFont="1" applyBorder="1" applyAlignment="1">
      <alignment horizontal="centerContinuous"/>
    </xf>
    <xf numFmtId="0" fontId="7" fillId="0" borderId="6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3" xfId="0" applyFont="1" applyBorder="1"/>
    <xf numFmtId="0" fontId="10" fillId="0" borderId="6" xfId="0" applyFont="1" applyBorder="1"/>
    <xf numFmtId="0" fontId="10" fillId="0" borderId="0" xfId="0" applyFont="1"/>
    <xf numFmtId="0" fontId="7" fillId="0" borderId="14" xfId="0" applyFont="1" applyBorder="1"/>
    <xf numFmtId="0" fontId="10" fillId="0" borderId="8" xfId="0" applyFont="1" applyBorder="1"/>
    <xf numFmtId="0" fontId="10" fillId="0" borderId="9" xfId="0" applyFont="1" applyBorder="1"/>
    <xf numFmtId="44" fontId="2" fillId="0" borderId="0" xfId="0" applyNumberFormat="1" applyFont="1"/>
    <xf numFmtId="44" fontId="11" fillId="0" borderId="6" xfId="1" applyFont="1" applyBorder="1"/>
    <xf numFmtId="44" fontId="11" fillId="0" borderId="9" xfId="1" applyFont="1" applyBorder="1"/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centerContinuous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4" fontId="2" fillId="0" borderId="6" xfId="0" applyNumberFormat="1" applyFont="1" applyBorder="1"/>
    <xf numFmtId="44" fontId="2" fillId="0" borderId="8" xfId="0" applyNumberFormat="1" applyFont="1" applyBorder="1"/>
    <xf numFmtId="44" fontId="2" fillId="0" borderId="9" xfId="0" applyNumberFormat="1" applyFont="1" applyBorder="1"/>
    <xf numFmtId="0" fontId="2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2" fillId="0" borderId="13" xfId="0" applyNumberFormat="1" applyFont="1" applyBorder="1"/>
    <xf numFmtId="44" fontId="2" fillId="0" borderId="14" xfId="0" applyNumberFormat="1" applyFont="1" applyBorder="1"/>
    <xf numFmtId="2" fontId="2" fillId="0" borderId="13" xfId="0" applyNumberFormat="1" applyFont="1" applyBorder="1"/>
    <xf numFmtId="44" fontId="5" fillId="0" borderId="4" xfId="1" applyFont="1" applyBorder="1"/>
    <xf numFmtId="9" fontId="5" fillId="0" borderId="6" xfId="2" applyFont="1" applyBorder="1"/>
    <xf numFmtId="0" fontId="3" fillId="0" borderId="0" xfId="0" applyFont="1"/>
    <xf numFmtId="2" fontId="2" fillId="0" borderId="14" xfId="0" applyNumberFormat="1" applyFont="1" applyBorder="1"/>
    <xf numFmtId="14" fontId="5" fillId="0" borderId="6" xfId="0" applyNumberFormat="1" applyFont="1" applyBorder="1"/>
    <xf numFmtId="14" fontId="7" fillId="0" borderId="9" xfId="0" applyNumberFormat="1" applyFont="1" applyBorder="1"/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vertical="center"/>
    </xf>
    <xf numFmtId="0" fontId="18" fillId="0" borderId="15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8" fillId="0" borderId="12" xfId="0" applyFont="1" applyBorder="1" applyAlignment="1">
      <alignment horizontal="centerContinuous"/>
    </xf>
    <xf numFmtId="0" fontId="19" fillId="0" borderId="1" xfId="0" applyFont="1" applyBorder="1"/>
    <xf numFmtId="0" fontId="15" fillId="0" borderId="1" xfId="3" applyBorder="1" applyAlignment="1">
      <alignment horizontal="center" vertical="center"/>
    </xf>
    <xf numFmtId="0" fontId="6" fillId="0" borderId="6" xfId="0" applyFont="1" applyBorder="1" applyAlignment="1">
      <alignment horizontal="center" vertical="center" textRotation="90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F55"/>
      <color rgb="FF4F6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1.3 LookUps'!A1"/><Relationship Id="rId2" Type="http://schemas.openxmlformats.org/officeDocument/2006/relationships/hyperlink" Target="#'1.2 Sum if'!A1"/><Relationship Id="rId1" Type="http://schemas.openxmlformats.org/officeDocument/2006/relationships/hyperlink" Target="#'1.1 If'!A1"/><Relationship Id="rId5" Type="http://schemas.openxmlformats.org/officeDocument/2006/relationships/hyperlink" Target="#'1.5 Goal Seek'!A1"/><Relationship Id="rId4" Type="http://schemas.openxmlformats.org/officeDocument/2006/relationships/hyperlink" Target="#'1.4 Date func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7</xdr:row>
      <xdr:rowOff>19050</xdr:rowOff>
    </xdr:from>
    <xdr:to>
      <xdr:col>6</xdr:col>
      <xdr:colOff>0</xdr:colOff>
      <xdr:row>7</xdr:row>
      <xdr:rowOff>184150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3E8F8-AEA9-9328-C905-2627B08E0D29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1.1</a:t>
          </a:r>
        </a:p>
      </xdr:txBody>
    </xdr:sp>
    <xdr:clientData/>
  </xdr:twoCellAnchor>
  <xdr:twoCellAnchor>
    <xdr:from>
      <xdr:col>5</xdr:col>
      <xdr:colOff>19050</xdr:colOff>
      <xdr:row>8</xdr:row>
      <xdr:rowOff>19050</xdr:rowOff>
    </xdr:from>
    <xdr:to>
      <xdr:col>6</xdr:col>
      <xdr:colOff>0</xdr:colOff>
      <xdr:row>8</xdr:row>
      <xdr:rowOff>184150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24448E-62D7-410D-965D-8650B9595566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1.2</a:t>
          </a:r>
        </a:p>
      </xdr:txBody>
    </xdr:sp>
    <xdr:clientData/>
  </xdr:twoCellAnchor>
  <xdr:twoCellAnchor>
    <xdr:from>
      <xdr:col>5</xdr:col>
      <xdr:colOff>19050</xdr:colOff>
      <xdr:row>9</xdr:row>
      <xdr:rowOff>19050</xdr:rowOff>
    </xdr:from>
    <xdr:to>
      <xdr:col>6</xdr:col>
      <xdr:colOff>0</xdr:colOff>
      <xdr:row>9</xdr:row>
      <xdr:rowOff>184150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5F6561-6F3F-4A70-AFA1-676FD7362436}"/>
            </a:ext>
          </a:extLst>
        </xdr:cNvPr>
        <xdr:cNvSpPr/>
      </xdr:nvSpPr>
      <xdr:spPr>
        <a:xfrm>
          <a:off x="4038600" y="15938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1.3</a:t>
          </a:r>
        </a:p>
      </xdr:txBody>
    </xdr:sp>
    <xdr:clientData/>
  </xdr:twoCellAnchor>
  <xdr:twoCellAnchor>
    <xdr:from>
      <xdr:col>5</xdr:col>
      <xdr:colOff>19050</xdr:colOff>
      <xdr:row>10</xdr:row>
      <xdr:rowOff>19050</xdr:rowOff>
    </xdr:from>
    <xdr:to>
      <xdr:col>6</xdr:col>
      <xdr:colOff>0</xdr:colOff>
      <xdr:row>10</xdr:row>
      <xdr:rowOff>184150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F22E16-CDDA-45C0-A332-5CE252C51179}"/>
            </a:ext>
          </a:extLst>
        </xdr:cNvPr>
        <xdr:cNvSpPr/>
      </xdr:nvSpPr>
      <xdr:spPr>
        <a:xfrm>
          <a:off x="4038600" y="17907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1.4</a:t>
          </a:r>
        </a:p>
      </xdr:txBody>
    </xdr:sp>
    <xdr:clientData/>
  </xdr:twoCellAnchor>
  <xdr:twoCellAnchor>
    <xdr:from>
      <xdr:col>5</xdr:col>
      <xdr:colOff>19050</xdr:colOff>
      <xdr:row>11</xdr:row>
      <xdr:rowOff>19050</xdr:rowOff>
    </xdr:from>
    <xdr:to>
      <xdr:col>6</xdr:col>
      <xdr:colOff>0</xdr:colOff>
      <xdr:row>11</xdr:row>
      <xdr:rowOff>184150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13A99A-1B90-4D96-BFFC-944C0105F41B}"/>
            </a:ext>
          </a:extLst>
        </xdr:cNvPr>
        <xdr:cNvSpPr/>
      </xdr:nvSpPr>
      <xdr:spPr>
        <a:xfrm>
          <a:off x="4038600" y="19875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FB33-2C5A-4217-AC14-7714D987D394}">
  <sheetPr codeName="Sheet2"/>
  <dimension ref="A1:C32"/>
  <sheetViews>
    <sheetView showGridLines="0" tabSelected="1" zoomScale="94" zoomScaleNormal="94" workbookViewId="0">
      <selection activeCell="F7" sqref="F7"/>
    </sheetView>
  </sheetViews>
  <sheetFormatPr defaultRowHeight="16" x14ac:dyDescent="0.4"/>
  <cols>
    <col min="1" max="1" width="12.6640625" style="1" customWidth="1"/>
    <col min="2" max="2" width="36.5" style="1" customWidth="1"/>
    <col min="3" max="16384" width="8.6640625" style="1"/>
  </cols>
  <sheetData>
    <row r="1" spans="1:3" x14ac:dyDescent="0.4">
      <c r="A1" s="93" t="s">
        <v>75</v>
      </c>
      <c r="B1" s="16" t="s">
        <v>76</v>
      </c>
      <c r="C1" s="18"/>
    </row>
    <row r="2" spans="1:3" x14ac:dyDescent="0.4">
      <c r="A2" s="94" t="s">
        <v>77</v>
      </c>
      <c r="B2" s="19" t="s">
        <v>78</v>
      </c>
      <c r="C2" s="11"/>
    </row>
    <row r="3" spans="1:3" x14ac:dyDescent="0.4">
      <c r="A3" s="94" t="s">
        <v>79</v>
      </c>
      <c r="B3" s="19" t="s">
        <v>80</v>
      </c>
      <c r="C3" s="11"/>
    </row>
    <row r="4" spans="1:3" x14ac:dyDescent="0.4">
      <c r="A4" s="94" t="s">
        <v>81</v>
      </c>
      <c r="B4" s="19" t="s">
        <v>82</v>
      </c>
      <c r="C4" s="11"/>
    </row>
    <row r="5" spans="1:3" ht="16.5" thickBot="1" x14ac:dyDescent="0.45">
      <c r="A5" s="95" t="s">
        <v>83</v>
      </c>
      <c r="B5" s="20" t="s">
        <v>84</v>
      </c>
      <c r="C5" s="13"/>
    </row>
    <row r="7" spans="1:3" x14ac:dyDescent="0.4">
      <c r="A7" s="81" t="s">
        <v>85</v>
      </c>
    </row>
    <row r="8" spans="1:3" x14ac:dyDescent="0.4">
      <c r="A8" s="91" t="s">
        <v>103</v>
      </c>
    </row>
    <row r="9" spans="1:3" x14ac:dyDescent="0.4">
      <c r="A9" s="90" t="s">
        <v>104</v>
      </c>
    </row>
    <row r="10" spans="1:3" x14ac:dyDescent="0.4">
      <c r="A10" s="90" t="s">
        <v>96</v>
      </c>
    </row>
    <row r="11" spans="1:3" x14ac:dyDescent="0.4">
      <c r="A11" s="90" t="s">
        <v>97</v>
      </c>
    </row>
    <row r="12" spans="1:3" x14ac:dyDescent="0.4">
      <c r="A12" s="90"/>
    </row>
    <row r="13" spans="1:3" x14ac:dyDescent="0.4">
      <c r="A13" s="81" t="s">
        <v>86</v>
      </c>
    </row>
    <row r="14" spans="1:3" x14ac:dyDescent="0.4">
      <c r="A14" s="91" t="s">
        <v>98</v>
      </c>
    </row>
    <row r="15" spans="1:3" x14ac:dyDescent="0.4">
      <c r="A15" s="91" t="s">
        <v>87</v>
      </c>
    </row>
    <row r="16" spans="1:3" x14ac:dyDescent="0.4">
      <c r="A16" s="90" t="s">
        <v>88</v>
      </c>
    </row>
    <row r="17" spans="1:1" x14ac:dyDescent="0.4">
      <c r="A17" s="90" t="s">
        <v>99</v>
      </c>
    </row>
    <row r="18" spans="1:1" x14ac:dyDescent="0.4">
      <c r="A18" s="90" t="s">
        <v>100</v>
      </c>
    </row>
    <row r="19" spans="1:1" s="91" customFormat="1" x14ac:dyDescent="0.4">
      <c r="A19" s="91" t="s">
        <v>89</v>
      </c>
    </row>
    <row r="21" spans="1:1" ht="17.5" x14ac:dyDescent="0.4">
      <c r="A21" s="92" t="s">
        <v>90</v>
      </c>
    </row>
    <row r="22" spans="1:1" x14ac:dyDescent="0.4">
      <c r="A22" s="91" t="s">
        <v>107</v>
      </c>
    </row>
    <row r="23" spans="1:1" x14ac:dyDescent="0.4">
      <c r="A23" s="90" t="s">
        <v>101</v>
      </c>
    </row>
    <row r="24" spans="1:1" x14ac:dyDescent="0.4">
      <c r="A24" s="90" t="s">
        <v>102</v>
      </c>
    </row>
    <row r="25" spans="1:1" x14ac:dyDescent="0.4">
      <c r="A25" s="91" t="s">
        <v>91</v>
      </c>
    </row>
    <row r="26" spans="1:1" x14ac:dyDescent="0.4">
      <c r="A26" s="90" t="s">
        <v>92</v>
      </c>
    </row>
    <row r="27" spans="1:1" x14ac:dyDescent="0.4">
      <c r="A27" s="90" t="s">
        <v>93</v>
      </c>
    </row>
    <row r="28" spans="1:1" x14ac:dyDescent="0.4">
      <c r="A28" s="90" t="s">
        <v>94</v>
      </c>
    </row>
    <row r="30" spans="1:1" ht="17.5" x14ac:dyDescent="0.4">
      <c r="A30" s="92" t="s">
        <v>95</v>
      </c>
    </row>
    <row r="31" spans="1:1" x14ac:dyDescent="0.4">
      <c r="A31" s="1" t="s">
        <v>105</v>
      </c>
    </row>
    <row r="32" spans="1:1" x14ac:dyDescent="0.4">
      <c r="A3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AE1E-F5C4-4DB3-A8F8-B184C9EBEE2F}">
  <sheetPr codeName="Sheet1"/>
  <dimension ref="D5:F12"/>
  <sheetViews>
    <sheetView showGridLines="0" topLeftCell="D6" zoomScale="140" zoomScaleNormal="140" workbookViewId="0">
      <selection activeCell="E10" sqref="E10"/>
    </sheetView>
  </sheetViews>
  <sheetFormatPr defaultColWidth="0" defaultRowHeight="16" zeroHeight="1" x14ac:dyDescent="0.4"/>
  <cols>
    <col min="1" max="3" width="8.6640625" style="1" hidden="1" customWidth="1"/>
    <col min="4" max="4" width="8.6640625" style="1" customWidth="1"/>
    <col min="5" max="5" width="18.08203125" style="1" customWidth="1"/>
    <col min="6" max="6" width="14.6640625" style="1" customWidth="1"/>
    <col min="7" max="7" width="8.6640625" style="1" hidden="1" customWidth="1"/>
    <col min="8" max="16384" width="8.6640625" style="1" hidden="1"/>
  </cols>
  <sheetData>
    <row r="5" spans="4:6" ht="16.5" hidden="1" thickBot="1" x14ac:dyDescent="0.45"/>
    <row r="6" spans="4:6" ht="16.5" thickBot="1" x14ac:dyDescent="0.45">
      <c r="D6" s="96" t="s">
        <v>66</v>
      </c>
      <c r="E6" s="97"/>
      <c r="F6" s="98"/>
    </row>
    <row r="7" spans="4:6" ht="16.5" thickBot="1" x14ac:dyDescent="0.45">
      <c r="D7" s="99" t="s">
        <v>5</v>
      </c>
      <c r="E7" s="99" t="s">
        <v>67</v>
      </c>
      <c r="F7" s="99" t="s">
        <v>68</v>
      </c>
    </row>
    <row r="8" spans="4:6" x14ac:dyDescent="0.4">
      <c r="D8" s="6">
        <v>1</v>
      </c>
      <c r="E8" s="6" t="s">
        <v>69</v>
      </c>
      <c r="F8" s="6"/>
    </row>
    <row r="9" spans="4:6" x14ac:dyDescent="0.4">
      <c r="D9" s="6">
        <v>2</v>
      </c>
      <c r="E9" s="6" t="s">
        <v>70</v>
      </c>
      <c r="F9" s="6"/>
    </row>
    <row r="10" spans="4:6" x14ac:dyDescent="0.4">
      <c r="D10" s="6">
        <v>3</v>
      </c>
      <c r="E10" s="6" t="s">
        <v>71</v>
      </c>
      <c r="F10" s="6"/>
    </row>
    <row r="11" spans="4:6" x14ac:dyDescent="0.4">
      <c r="D11" s="6">
        <v>4</v>
      </c>
      <c r="E11" s="6" t="s">
        <v>72</v>
      </c>
      <c r="F11" s="6"/>
    </row>
    <row r="12" spans="4:6" ht="16.5" thickBot="1" x14ac:dyDescent="0.45">
      <c r="D12" s="12">
        <v>5</v>
      </c>
      <c r="E12" s="12" t="s">
        <v>73</v>
      </c>
      <c r="F12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17E3-1BC8-4F78-8795-61F773D5394C}">
  <sheetPr codeName="Sheet3"/>
  <dimension ref="A1:L14"/>
  <sheetViews>
    <sheetView showGridLines="0" workbookViewId="0"/>
  </sheetViews>
  <sheetFormatPr defaultRowHeight="16" x14ac:dyDescent="0.4"/>
  <cols>
    <col min="1" max="1" width="20.83203125" style="1" customWidth="1"/>
    <col min="2" max="2" width="20.25" style="1" customWidth="1"/>
    <col min="3" max="9" width="8.6640625" style="1"/>
    <col min="10" max="10" width="11.33203125" style="1" customWidth="1"/>
    <col min="11" max="11" width="10.1640625" style="1" customWidth="1"/>
    <col min="12" max="16384" width="8.6640625" style="1"/>
  </cols>
  <sheetData>
    <row r="1" spans="1:12" ht="24.5" thickBot="1" x14ac:dyDescent="0.65">
      <c r="A1" s="100" t="s">
        <v>74</v>
      </c>
      <c r="B1" s="33" t="s">
        <v>1</v>
      </c>
      <c r="C1" s="34"/>
      <c r="D1" s="34"/>
      <c r="E1" s="34"/>
      <c r="F1" s="34"/>
      <c r="G1" s="35"/>
      <c r="I1" s="33" t="s">
        <v>4</v>
      </c>
      <c r="J1" s="36"/>
      <c r="K1" s="36"/>
      <c r="L1" s="29"/>
    </row>
    <row r="2" spans="1:12" x14ac:dyDescent="0.4">
      <c r="B2" s="19" t="s">
        <v>29</v>
      </c>
      <c r="G2" s="11"/>
      <c r="I2" s="16" t="s">
        <v>2</v>
      </c>
      <c r="J2" s="18"/>
      <c r="K2" s="37">
        <v>1000</v>
      </c>
      <c r="L2" s="38"/>
    </row>
    <row r="3" spans="1:12" x14ac:dyDescent="0.4">
      <c r="B3" s="19"/>
      <c r="G3" s="11"/>
      <c r="I3" s="19" t="s">
        <v>3</v>
      </c>
      <c r="J3" s="11"/>
      <c r="K3" s="2"/>
      <c r="L3" s="39"/>
    </row>
    <row r="4" spans="1:12" x14ac:dyDescent="0.4">
      <c r="B4" s="19" t="s">
        <v>0</v>
      </c>
      <c r="G4" s="11"/>
      <c r="I4" s="19"/>
      <c r="J4" s="11"/>
      <c r="L4" s="11"/>
    </row>
    <row r="5" spans="1:12" ht="16.5" thickBot="1" x14ac:dyDescent="0.45">
      <c r="B5" s="40"/>
      <c r="G5" s="11"/>
      <c r="I5" s="20"/>
      <c r="J5" s="13"/>
      <c r="K5" s="21"/>
      <c r="L5" s="13"/>
    </row>
    <row r="6" spans="1:12" x14ac:dyDescent="0.4">
      <c r="B6" s="40" t="s">
        <v>30</v>
      </c>
      <c r="G6" s="11"/>
    </row>
    <row r="7" spans="1:12" x14ac:dyDescent="0.4">
      <c r="B7" s="40"/>
      <c r="G7" s="11"/>
    </row>
    <row r="8" spans="1:12" x14ac:dyDescent="0.4">
      <c r="B8" s="40" t="s">
        <v>31</v>
      </c>
      <c r="G8" s="11"/>
    </row>
    <row r="9" spans="1:12" x14ac:dyDescent="0.4">
      <c r="B9" s="40"/>
      <c r="G9" s="11"/>
    </row>
    <row r="10" spans="1:12" x14ac:dyDescent="0.4">
      <c r="B10" s="40" t="s">
        <v>32</v>
      </c>
      <c r="G10" s="11"/>
    </row>
    <row r="11" spans="1:12" x14ac:dyDescent="0.4">
      <c r="B11" s="40"/>
      <c r="G11" s="11"/>
    </row>
    <row r="12" spans="1:12" x14ac:dyDescent="0.4">
      <c r="B12" s="40" t="s">
        <v>33</v>
      </c>
      <c r="G12" s="11"/>
    </row>
    <row r="13" spans="1:12" x14ac:dyDescent="0.4">
      <c r="B13" s="40"/>
      <c r="G13" s="11"/>
    </row>
    <row r="14" spans="1:12" ht="16.5" thickBot="1" x14ac:dyDescent="0.45">
      <c r="B14" s="41" t="s">
        <v>34</v>
      </c>
      <c r="C14" s="21"/>
      <c r="D14" s="21"/>
      <c r="E14" s="21"/>
      <c r="F14" s="21"/>
      <c r="G14" s="13"/>
    </row>
  </sheetData>
  <hyperlinks>
    <hyperlink ref="A1" location="'🗂️ TOC'!A1" display="Return Back" xr:uid="{7FD44A95-3287-4B3C-8FB0-889A3C14A10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6EF85-AFA2-4CBC-9C38-A999B85AC46E}">
  <sheetPr codeName="Sheet4"/>
  <dimension ref="A1:V1001"/>
  <sheetViews>
    <sheetView showGridLines="0" topLeftCell="F1" workbookViewId="0">
      <selection activeCell="H10" sqref="H10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10.5" style="1" customWidth="1"/>
    <col min="10" max="10" width="21.58203125" style="1" customWidth="1"/>
    <col min="11" max="13" width="8.6640625" style="1"/>
    <col min="14" max="14" width="17.08203125" style="1" customWidth="1"/>
    <col min="15" max="15" width="18.25" style="1" customWidth="1"/>
    <col min="16" max="17" width="8.6640625" style="1"/>
    <col min="18" max="18" width="9.75" style="1" bestFit="1" customWidth="1"/>
    <col min="19" max="16384" width="8.6640625" style="1"/>
  </cols>
  <sheetData>
    <row r="1" spans="1:22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42"/>
      <c r="I1" s="4" t="s">
        <v>13</v>
      </c>
      <c r="J1" s="29"/>
      <c r="M1" s="4" t="s">
        <v>14</v>
      </c>
      <c r="N1" s="43"/>
      <c r="O1" s="5"/>
      <c r="Q1" s="4" t="s">
        <v>17</v>
      </c>
      <c r="R1" s="44"/>
      <c r="S1" s="44"/>
      <c r="T1" s="44"/>
      <c r="U1" s="44"/>
      <c r="V1" s="45"/>
    </row>
    <row r="2" spans="1:22" ht="16.5" thickBot="1" x14ac:dyDescent="0.45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I2" s="25" t="s">
        <v>7</v>
      </c>
      <c r="J2" s="24" t="s">
        <v>10</v>
      </c>
      <c r="M2" s="25" t="s">
        <v>7</v>
      </c>
      <c r="N2" s="25" t="s">
        <v>8</v>
      </c>
      <c r="O2" s="24" t="s">
        <v>10</v>
      </c>
      <c r="Q2" s="46" t="s">
        <v>15</v>
      </c>
      <c r="R2" s="47" t="s">
        <v>16</v>
      </c>
      <c r="S2" s="47"/>
      <c r="T2" s="47"/>
      <c r="U2" s="47"/>
      <c r="V2" s="31"/>
    </row>
    <row r="3" spans="1:22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I3" s="6" t="s">
        <v>11</v>
      </c>
      <c r="J3" s="48"/>
      <c r="M3" s="6" t="s">
        <v>11</v>
      </c>
      <c r="N3" s="6">
        <v>2021</v>
      </c>
      <c r="O3" s="11"/>
      <c r="Q3" s="12"/>
      <c r="R3" s="49">
        <v>1</v>
      </c>
      <c r="S3" s="49">
        <f>R3+1</f>
        <v>2</v>
      </c>
      <c r="T3" s="49">
        <f t="shared" ref="T3:V3" si="1">S3+1</f>
        <v>3</v>
      </c>
      <c r="U3" s="49">
        <f t="shared" si="1"/>
        <v>4</v>
      </c>
      <c r="V3" s="50">
        <f t="shared" si="1"/>
        <v>5</v>
      </c>
    </row>
    <row r="4" spans="1:22" ht="16.5" thickBot="1" x14ac:dyDescent="0.45">
      <c r="A4" s="6">
        <f t="shared" ref="A4:A67" si="2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I4" s="12" t="s">
        <v>12</v>
      </c>
      <c r="J4" s="50"/>
      <c r="M4" s="6" t="s">
        <v>11</v>
      </c>
      <c r="N4" s="6">
        <f>N3+1</f>
        <v>2022</v>
      </c>
      <c r="O4" s="11"/>
      <c r="Q4" s="51">
        <v>2021</v>
      </c>
      <c r="R4" s="16"/>
      <c r="S4" s="17"/>
      <c r="T4" s="17"/>
      <c r="U4" s="17"/>
      <c r="V4" s="18"/>
    </row>
    <row r="5" spans="1:22" x14ac:dyDescent="0.4">
      <c r="A5" s="6">
        <f t="shared" si="2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M5" s="6" t="s">
        <v>11</v>
      </c>
      <c r="N5" s="6">
        <f t="shared" ref="N5:N6" si="3">N4+1</f>
        <v>2023</v>
      </c>
      <c r="O5" s="11"/>
      <c r="Q5" s="51">
        <f t="shared" ref="Q5:Q8" si="4">Q4+1</f>
        <v>2022</v>
      </c>
      <c r="R5" s="19"/>
      <c r="V5" s="52"/>
    </row>
    <row r="6" spans="1:22" x14ac:dyDescent="0.4">
      <c r="A6" s="6">
        <f t="shared" si="2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M6" s="6" t="s">
        <v>11</v>
      </c>
      <c r="N6" s="6">
        <f t="shared" si="3"/>
        <v>2024</v>
      </c>
      <c r="O6" s="11"/>
      <c r="Q6" s="51">
        <f t="shared" si="4"/>
        <v>2023</v>
      </c>
      <c r="R6" s="19"/>
      <c r="U6" s="53"/>
      <c r="V6" s="52"/>
    </row>
    <row r="7" spans="1:22" x14ac:dyDescent="0.4">
      <c r="A7" s="6">
        <f t="shared" si="2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M7" s="6" t="s">
        <v>11</v>
      </c>
      <c r="N7" s="6">
        <f t="shared" ref="N7" si="5">N6+1</f>
        <v>2025</v>
      </c>
      <c r="O7" s="11"/>
      <c r="Q7" s="51">
        <f t="shared" si="4"/>
        <v>2024</v>
      </c>
      <c r="R7" s="19"/>
      <c r="T7" s="53"/>
      <c r="U7" s="53"/>
      <c r="V7" s="52"/>
    </row>
    <row r="8" spans="1:22" ht="16.5" thickBot="1" x14ac:dyDescent="0.45">
      <c r="A8" s="6">
        <f t="shared" si="2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M8" s="6" t="s">
        <v>12</v>
      </c>
      <c r="N8" s="6">
        <f>N3</f>
        <v>2021</v>
      </c>
      <c r="O8" s="11"/>
      <c r="Q8" s="54">
        <f t="shared" si="4"/>
        <v>2025</v>
      </c>
      <c r="R8" s="20"/>
      <c r="S8" s="55"/>
      <c r="T8" s="55"/>
      <c r="U8" s="55"/>
      <c r="V8" s="56"/>
    </row>
    <row r="9" spans="1:22" ht="16.5" thickBot="1" x14ac:dyDescent="0.45">
      <c r="A9" s="6">
        <f t="shared" si="2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M9" s="6" t="s">
        <v>12</v>
      </c>
      <c r="N9" s="6">
        <f t="shared" ref="N9:N12" si="6">N4</f>
        <v>2022</v>
      </c>
      <c r="O9" s="11"/>
    </row>
    <row r="10" spans="1:22" ht="16.5" thickBot="1" x14ac:dyDescent="0.45">
      <c r="A10" s="6">
        <f t="shared" si="2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  <c r="H10" s="100" t="s">
        <v>74</v>
      </c>
      <c r="M10" s="6" t="s">
        <v>12</v>
      </c>
      <c r="N10" s="6">
        <f t="shared" si="6"/>
        <v>2023</v>
      </c>
      <c r="O10" s="11"/>
      <c r="Q10" s="1" t="s">
        <v>7</v>
      </c>
    </row>
    <row r="11" spans="1:22" x14ac:dyDescent="0.4">
      <c r="A11" s="6">
        <f t="shared" si="2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  <c r="M11" s="6" t="s">
        <v>12</v>
      </c>
      <c r="N11" s="6">
        <f t="shared" si="6"/>
        <v>2024</v>
      </c>
      <c r="O11" s="11"/>
    </row>
    <row r="12" spans="1:22" ht="16.5" thickBot="1" x14ac:dyDescent="0.45">
      <c r="A12" s="6">
        <f t="shared" si="2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  <c r="M12" s="12" t="s">
        <v>12</v>
      </c>
      <c r="N12" s="12">
        <f t="shared" si="6"/>
        <v>2025</v>
      </c>
      <c r="O12" s="13"/>
    </row>
    <row r="13" spans="1:22" x14ac:dyDescent="0.4">
      <c r="A13" s="6">
        <f t="shared" si="2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2" x14ac:dyDescent="0.4">
      <c r="A14" s="6">
        <f t="shared" si="2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2" x14ac:dyDescent="0.4">
      <c r="A15" s="6">
        <f t="shared" si="2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2" x14ac:dyDescent="0.4">
      <c r="A16" s="6">
        <f t="shared" si="2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2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2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2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2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2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2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2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2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2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2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2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2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2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2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2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2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2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2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2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2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2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2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2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2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2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2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2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2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2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2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2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2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2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2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2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2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2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2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2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2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2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2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2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2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2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2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2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2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2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2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2"/>
        <v>66</v>
      </c>
      <c r="B67" s="6" t="str">
        <f t="shared" ref="B67:B130" si="7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8">A67+1</f>
        <v>67</v>
      </c>
      <c r="B68" s="6" t="str">
        <f t="shared" si="7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8"/>
        <v>68</v>
      </c>
      <c r="B69" s="6" t="str">
        <f t="shared" si="7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8"/>
        <v>69</v>
      </c>
      <c r="B70" s="6" t="str">
        <f t="shared" si="7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8"/>
        <v>70</v>
      </c>
      <c r="B71" s="6" t="str">
        <f t="shared" si="7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8"/>
        <v>71</v>
      </c>
      <c r="B72" s="6" t="str">
        <f t="shared" si="7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8"/>
        <v>72</v>
      </c>
      <c r="B73" s="6" t="str">
        <f t="shared" si="7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8"/>
        <v>73</v>
      </c>
      <c r="B74" s="6" t="str">
        <f t="shared" si="7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8"/>
        <v>74</v>
      </c>
      <c r="B75" s="6" t="str">
        <f t="shared" si="7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8"/>
        <v>75</v>
      </c>
      <c r="B76" s="6" t="str">
        <f t="shared" si="7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8"/>
        <v>76</v>
      </c>
      <c r="B77" s="6" t="str">
        <f t="shared" si="7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8"/>
        <v>77</v>
      </c>
      <c r="B78" s="6" t="str">
        <f t="shared" si="7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8"/>
        <v>78</v>
      </c>
      <c r="B79" s="6" t="str">
        <f t="shared" si="7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8"/>
        <v>79</v>
      </c>
      <c r="B80" s="6" t="str">
        <f t="shared" si="7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8"/>
        <v>80</v>
      </c>
      <c r="B81" s="6" t="str">
        <f t="shared" si="7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8"/>
        <v>81</v>
      </c>
      <c r="B82" s="6" t="str">
        <f t="shared" si="7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8"/>
        <v>82</v>
      </c>
      <c r="B83" s="6" t="str">
        <f t="shared" si="7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8"/>
        <v>83</v>
      </c>
      <c r="B84" s="6" t="str">
        <f t="shared" si="7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8"/>
        <v>84</v>
      </c>
      <c r="B85" s="6" t="str">
        <f t="shared" si="7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8"/>
        <v>85</v>
      </c>
      <c r="B86" s="6" t="str">
        <f t="shared" si="7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8"/>
        <v>86</v>
      </c>
      <c r="B87" s="6" t="str">
        <f t="shared" si="7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8"/>
        <v>87</v>
      </c>
      <c r="B88" s="6" t="str">
        <f t="shared" si="7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8"/>
        <v>88</v>
      </c>
      <c r="B89" s="6" t="str">
        <f t="shared" si="7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8"/>
        <v>89</v>
      </c>
      <c r="B90" s="6" t="str">
        <f t="shared" si="7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8"/>
        <v>90</v>
      </c>
      <c r="B91" s="6" t="str">
        <f t="shared" si="7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8"/>
        <v>91</v>
      </c>
      <c r="B92" s="6" t="str">
        <f t="shared" si="7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8"/>
        <v>92</v>
      </c>
      <c r="B93" s="6" t="str">
        <f t="shared" si="7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8"/>
        <v>93</v>
      </c>
      <c r="B94" s="6" t="str">
        <f t="shared" si="7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8"/>
        <v>94</v>
      </c>
      <c r="B95" s="6" t="str">
        <f t="shared" si="7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8"/>
        <v>95</v>
      </c>
      <c r="B96" s="6" t="str">
        <f t="shared" si="7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8"/>
        <v>96</v>
      </c>
      <c r="B97" s="6" t="str">
        <f t="shared" si="7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8"/>
        <v>97</v>
      </c>
      <c r="B98" s="6" t="str">
        <f t="shared" si="7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8"/>
        <v>98</v>
      </c>
      <c r="B99" s="6" t="str">
        <f t="shared" si="7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8"/>
        <v>99</v>
      </c>
      <c r="B100" s="6" t="str">
        <f t="shared" si="7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8"/>
        <v>100</v>
      </c>
      <c r="B101" s="6" t="str">
        <f t="shared" si="7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8"/>
        <v>101</v>
      </c>
      <c r="B102" s="6" t="str">
        <f t="shared" si="7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8"/>
        <v>102</v>
      </c>
      <c r="B103" s="6" t="str">
        <f t="shared" si="7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8"/>
        <v>103</v>
      </c>
      <c r="B104" s="6" t="str">
        <f t="shared" si="7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8"/>
        <v>104</v>
      </c>
      <c r="B105" s="6" t="str">
        <f t="shared" si="7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8"/>
        <v>105</v>
      </c>
      <c r="B106" s="6" t="str">
        <f t="shared" si="7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8"/>
        <v>106</v>
      </c>
      <c r="B107" s="6" t="str">
        <f t="shared" si="7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8"/>
        <v>107</v>
      </c>
      <c r="B108" s="6" t="str">
        <f t="shared" si="7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8"/>
        <v>108</v>
      </c>
      <c r="B109" s="6" t="str">
        <f t="shared" si="7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8"/>
        <v>109</v>
      </c>
      <c r="B110" s="6" t="str">
        <f t="shared" si="7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8"/>
        <v>110</v>
      </c>
      <c r="B111" s="6" t="str">
        <f t="shared" si="7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8"/>
        <v>111</v>
      </c>
      <c r="B112" s="6" t="str">
        <f t="shared" si="7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8"/>
        <v>112</v>
      </c>
      <c r="B113" s="6" t="str">
        <f t="shared" si="7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8"/>
        <v>113</v>
      </c>
      <c r="B114" s="6" t="str">
        <f t="shared" si="7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8"/>
        <v>114</v>
      </c>
      <c r="B115" s="6" t="str">
        <f t="shared" si="7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8"/>
        <v>115</v>
      </c>
      <c r="B116" s="6" t="str">
        <f t="shared" si="7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8"/>
        <v>116</v>
      </c>
      <c r="B117" s="6" t="str">
        <f t="shared" si="7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8"/>
        <v>117</v>
      </c>
      <c r="B118" s="6" t="str">
        <f t="shared" si="7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8"/>
        <v>118</v>
      </c>
      <c r="B119" s="6" t="str">
        <f t="shared" si="7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8"/>
        <v>119</v>
      </c>
      <c r="B120" s="6" t="str">
        <f t="shared" si="7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8"/>
        <v>120</v>
      </c>
      <c r="B121" s="6" t="str">
        <f t="shared" si="7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8"/>
        <v>121</v>
      </c>
      <c r="B122" s="6" t="str">
        <f t="shared" si="7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8"/>
        <v>122</v>
      </c>
      <c r="B123" s="6" t="str">
        <f t="shared" si="7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8"/>
        <v>123</v>
      </c>
      <c r="B124" s="6" t="str">
        <f t="shared" si="7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8"/>
        <v>124</v>
      </c>
      <c r="B125" s="6" t="str">
        <f t="shared" si="7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8"/>
        <v>125</v>
      </c>
      <c r="B126" s="6" t="str">
        <f t="shared" si="7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8"/>
        <v>126</v>
      </c>
      <c r="B127" s="6" t="str">
        <f t="shared" si="7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8"/>
        <v>127</v>
      </c>
      <c r="B128" s="6" t="str">
        <f t="shared" si="7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8"/>
        <v>128</v>
      </c>
      <c r="B129" s="6" t="str">
        <f t="shared" si="7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8"/>
        <v>129</v>
      </c>
      <c r="B130" s="6" t="str">
        <f t="shared" si="7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8"/>
        <v>130</v>
      </c>
      <c r="B131" s="6" t="str">
        <f t="shared" ref="B131:B194" si="9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10">A131+1</f>
        <v>131</v>
      </c>
      <c r="B132" s="6" t="str">
        <f t="shared" si="9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10"/>
        <v>132</v>
      </c>
      <c r="B133" s="6" t="str">
        <f t="shared" si="9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10"/>
        <v>133</v>
      </c>
      <c r="B134" s="6" t="str">
        <f t="shared" si="9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10"/>
        <v>134</v>
      </c>
      <c r="B135" s="6" t="str">
        <f t="shared" si="9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10"/>
        <v>135</v>
      </c>
      <c r="B136" s="6" t="str">
        <f t="shared" si="9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10"/>
        <v>136</v>
      </c>
      <c r="B137" s="6" t="str">
        <f t="shared" si="9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10"/>
        <v>137</v>
      </c>
      <c r="B138" s="6" t="str">
        <f t="shared" si="9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10"/>
        <v>138</v>
      </c>
      <c r="B139" s="6" t="str">
        <f t="shared" si="9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10"/>
        <v>139</v>
      </c>
      <c r="B140" s="6" t="str">
        <f t="shared" si="9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10"/>
        <v>140</v>
      </c>
      <c r="B141" s="6" t="str">
        <f t="shared" si="9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10"/>
        <v>141</v>
      </c>
      <c r="B142" s="6" t="str">
        <f t="shared" si="9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10"/>
        <v>142</v>
      </c>
      <c r="B143" s="6" t="str">
        <f t="shared" si="9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10"/>
        <v>143</v>
      </c>
      <c r="B144" s="6" t="str">
        <f t="shared" si="9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10"/>
        <v>144</v>
      </c>
      <c r="B145" s="6" t="str">
        <f t="shared" si="9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10"/>
        <v>145</v>
      </c>
      <c r="B146" s="6" t="str">
        <f t="shared" si="9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10"/>
        <v>146</v>
      </c>
      <c r="B147" s="6" t="str">
        <f t="shared" si="9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10"/>
        <v>147</v>
      </c>
      <c r="B148" s="6" t="str">
        <f t="shared" si="9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10"/>
        <v>148</v>
      </c>
      <c r="B149" s="6" t="str">
        <f t="shared" si="9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10"/>
        <v>149</v>
      </c>
      <c r="B150" s="6" t="str">
        <f t="shared" si="9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10"/>
        <v>150</v>
      </c>
      <c r="B151" s="6" t="str">
        <f t="shared" si="9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10"/>
        <v>151</v>
      </c>
      <c r="B152" s="6" t="str">
        <f t="shared" si="9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10"/>
        <v>152</v>
      </c>
      <c r="B153" s="6" t="str">
        <f t="shared" si="9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10"/>
        <v>153</v>
      </c>
      <c r="B154" s="6" t="str">
        <f t="shared" si="9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10"/>
        <v>154</v>
      </c>
      <c r="B155" s="6" t="str">
        <f t="shared" si="9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10"/>
        <v>155</v>
      </c>
      <c r="B156" s="6" t="str">
        <f t="shared" si="9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10"/>
        <v>156</v>
      </c>
      <c r="B157" s="6" t="str">
        <f t="shared" si="9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10"/>
        <v>157</v>
      </c>
      <c r="B158" s="6" t="str">
        <f t="shared" si="9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10"/>
        <v>158</v>
      </c>
      <c r="B159" s="6" t="str">
        <f t="shared" si="9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10"/>
        <v>159</v>
      </c>
      <c r="B160" s="6" t="str">
        <f t="shared" si="9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10"/>
        <v>160</v>
      </c>
      <c r="B161" s="6" t="str">
        <f t="shared" si="9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10"/>
        <v>161</v>
      </c>
      <c r="B162" s="6" t="str">
        <f t="shared" si="9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10"/>
        <v>162</v>
      </c>
      <c r="B163" s="6" t="str">
        <f t="shared" si="9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10"/>
        <v>163</v>
      </c>
      <c r="B164" s="6" t="str">
        <f t="shared" si="9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10"/>
        <v>164</v>
      </c>
      <c r="B165" s="6" t="str">
        <f t="shared" si="9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10"/>
        <v>165</v>
      </c>
      <c r="B166" s="6" t="str">
        <f t="shared" si="9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10"/>
        <v>166</v>
      </c>
      <c r="B167" s="6" t="str">
        <f t="shared" si="9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10"/>
        <v>167</v>
      </c>
      <c r="B168" s="6" t="str">
        <f t="shared" si="9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10"/>
        <v>168</v>
      </c>
      <c r="B169" s="6" t="str">
        <f t="shared" si="9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10"/>
        <v>169</v>
      </c>
      <c r="B170" s="6" t="str">
        <f t="shared" si="9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10"/>
        <v>170</v>
      </c>
      <c r="B171" s="6" t="str">
        <f t="shared" si="9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10"/>
        <v>171</v>
      </c>
      <c r="B172" s="6" t="str">
        <f t="shared" si="9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10"/>
        <v>172</v>
      </c>
      <c r="B173" s="6" t="str">
        <f t="shared" si="9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10"/>
        <v>173</v>
      </c>
      <c r="B174" s="6" t="str">
        <f t="shared" si="9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10"/>
        <v>174</v>
      </c>
      <c r="B175" s="6" t="str">
        <f t="shared" si="9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10"/>
        <v>175</v>
      </c>
      <c r="B176" s="6" t="str">
        <f t="shared" si="9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10"/>
        <v>176</v>
      </c>
      <c r="B177" s="6" t="str">
        <f t="shared" si="9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10"/>
        <v>177</v>
      </c>
      <c r="B178" s="6" t="str">
        <f t="shared" si="9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10"/>
        <v>178</v>
      </c>
      <c r="B179" s="6" t="str">
        <f t="shared" si="9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10"/>
        <v>179</v>
      </c>
      <c r="B180" s="6" t="str">
        <f t="shared" si="9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10"/>
        <v>180</v>
      </c>
      <c r="B181" s="6" t="str">
        <f t="shared" si="9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10"/>
        <v>181</v>
      </c>
      <c r="B182" s="6" t="str">
        <f t="shared" si="9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10"/>
        <v>182</v>
      </c>
      <c r="B183" s="6" t="str">
        <f t="shared" si="9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10"/>
        <v>183</v>
      </c>
      <c r="B184" s="6" t="str">
        <f t="shared" si="9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10"/>
        <v>184</v>
      </c>
      <c r="B185" s="6" t="str">
        <f t="shared" si="9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10"/>
        <v>185</v>
      </c>
      <c r="B186" s="6" t="str">
        <f t="shared" si="9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10"/>
        <v>186</v>
      </c>
      <c r="B187" s="6" t="str">
        <f t="shared" si="9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10"/>
        <v>187</v>
      </c>
      <c r="B188" s="6" t="str">
        <f t="shared" si="9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10"/>
        <v>188</v>
      </c>
      <c r="B189" s="6" t="str">
        <f t="shared" si="9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10"/>
        <v>189</v>
      </c>
      <c r="B190" s="6" t="str">
        <f t="shared" si="9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10"/>
        <v>190</v>
      </c>
      <c r="B191" s="6" t="str">
        <f t="shared" si="9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10"/>
        <v>191</v>
      </c>
      <c r="B192" s="6" t="str">
        <f t="shared" si="9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10"/>
        <v>192</v>
      </c>
      <c r="B193" s="6" t="str">
        <f t="shared" si="9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10"/>
        <v>193</v>
      </c>
      <c r="B194" s="6" t="str">
        <f t="shared" si="9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10"/>
        <v>194</v>
      </c>
      <c r="B195" s="6" t="str">
        <f t="shared" ref="B195:B258" si="11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12">A195+1</f>
        <v>195</v>
      </c>
      <c r="B196" s="6" t="str">
        <f t="shared" si="11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12"/>
        <v>196</v>
      </c>
      <c r="B197" s="6" t="str">
        <f t="shared" si="11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12"/>
        <v>197</v>
      </c>
      <c r="B198" s="6" t="str">
        <f t="shared" si="11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12"/>
        <v>198</v>
      </c>
      <c r="B199" s="6" t="str">
        <f t="shared" si="11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12"/>
        <v>199</v>
      </c>
      <c r="B200" s="6" t="str">
        <f t="shared" si="11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12"/>
        <v>200</v>
      </c>
      <c r="B201" s="6" t="str">
        <f t="shared" si="11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12"/>
        <v>201</v>
      </c>
      <c r="B202" s="6" t="str">
        <f t="shared" si="11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12"/>
        <v>202</v>
      </c>
      <c r="B203" s="6" t="str">
        <f t="shared" si="11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12"/>
        <v>203</v>
      </c>
      <c r="B204" s="6" t="str">
        <f t="shared" si="11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12"/>
        <v>204</v>
      </c>
      <c r="B205" s="6" t="str">
        <f t="shared" si="11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12"/>
        <v>205</v>
      </c>
      <c r="B206" s="6" t="str">
        <f t="shared" si="11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12"/>
        <v>206</v>
      </c>
      <c r="B207" s="6" t="str">
        <f t="shared" si="11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12"/>
        <v>207</v>
      </c>
      <c r="B208" s="6" t="str">
        <f t="shared" si="11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12"/>
        <v>208</v>
      </c>
      <c r="B209" s="6" t="str">
        <f t="shared" si="11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12"/>
        <v>209</v>
      </c>
      <c r="B210" s="6" t="str">
        <f t="shared" si="11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12"/>
        <v>210</v>
      </c>
      <c r="B211" s="6" t="str">
        <f t="shared" si="11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12"/>
        <v>211</v>
      </c>
      <c r="B212" s="6" t="str">
        <f t="shared" si="11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12"/>
        <v>212</v>
      </c>
      <c r="B213" s="6" t="str">
        <f t="shared" si="11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12"/>
        <v>213</v>
      </c>
      <c r="B214" s="6" t="str">
        <f t="shared" si="11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12"/>
        <v>214</v>
      </c>
      <c r="B215" s="6" t="str">
        <f t="shared" si="11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12"/>
        <v>215</v>
      </c>
      <c r="B216" s="6" t="str">
        <f t="shared" si="11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12"/>
        <v>216</v>
      </c>
      <c r="B217" s="6" t="str">
        <f t="shared" si="11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12"/>
        <v>217</v>
      </c>
      <c r="B218" s="6" t="str">
        <f t="shared" si="11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12"/>
        <v>218</v>
      </c>
      <c r="B219" s="6" t="str">
        <f t="shared" si="11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12"/>
        <v>219</v>
      </c>
      <c r="B220" s="6" t="str">
        <f t="shared" si="11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12"/>
        <v>220</v>
      </c>
      <c r="B221" s="6" t="str">
        <f t="shared" si="11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12"/>
        <v>221</v>
      </c>
      <c r="B222" s="6" t="str">
        <f t="shared" si="11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12"/>
        <v>222</v>
      </c>
      <c r="B223" s="6" t="str">
        <f t="shared" si="11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12"/>
        <v>223</v>
      </c>
      <c r="B224" s="6" t="str">
        <f t="shared" si="11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12"/>
        <v>224</v>
      </c>
      <c r="B225" s="6" t="str">
        <f t="shared" si="11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12"/>
        <v>225</v>
      </c>
      <c r="B226" s="6" t="str">
        <f t="shared" si="11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12"/>
        <v>226</v>
      </c>
      <c r="B227" s="6" t="str">
        <f t="shared" si="11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12"/>
        <v>227</v>
      </c>
      <c r="B228" s="6" t="str">
        <f t="shared" si="11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12"/>
        <v>228</v>
      </c>
      <c r="B229" s="6" t="str">
        <f t="shared" si="11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12"/>
        <v>229</v>
      </c>
      <c r="B230" s="6" t="str">
        <f t="shared" si="11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12"/>
        <v>230</v>
      </c>
      <c r="B231" s="6" t="str">
        <f t="shared" si="11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12"/>
        <v>231</v>
      </c>
      <c r="B232" s="6" t="str">
        <f t="shared" si="11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12"/>
        <v>232</v>
      </c>
      <c r="B233" s="6" t="str">
        <f t="shared" si="11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12"/>
        <v>233</v>
      </c>
      <c r="B234" s="6" t="str">
        <f t="shared" si="11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12"/>
        <v>234</v>
      </c>
      <c r="B235" s="6" t="str">
        <f t="shared" si="11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12"/>
        <v>235</v>
      </c>
      <c r="B236" s="6" t="str">
        <f t="shared" si="11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12"/>
        <v>236</v>
      </c>
      <c r="B237" s="6" t="str">
        <f t="shared" si="11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12"/>
        <v>237</v>
      </c>
      <c r="B238" s="6" t="str">
        <f t="shared" si="11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12"/>
        <v>238</v>
      </c>
      <c r="B239" s="6" t="str">
        <f t="shared" si="11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12"/>
        <v>239</v>
      </c>
      <c r="B240" s="6" t="str">
        <f t="shared" si="11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12"/>
        <v>240</v>
      </c>
      <c r="B241" s="6" t="str">
        <f t="shared" si="11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12"/>
        <v>241</v>
      </c>
      <c r="B242" s="6" t="str">
        <f t="shared" si="11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12"/>
        <v>242</v>
      </c>
      <c r="B243" s="6" t="str">
        <f t="shared" si="11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12"/>
        <v>243</v>
      </c>
      <c r="B244" s="6" t="str">
        <f t="shared" si="11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12"/>
        <v>244</v>
      </c>
      <c r="B245" s="6" t="str">
        <f t="shared" si="11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12"/>
        <v>245</v>
      </c>
      <c r="B246" s="6" t="str">
        <f t="shared" si="11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12"/>
        <v>246</v>
      </c>
      <c r="B247" s="6" t="str">
        <f t="shared" si="11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12"/>
        <v>247</v>
      </c>
      <c r="B248" s="6" t="str">
        <f t="shared" si="11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12"/>
        <v>248</v>
      </c>
      <c r="B249" s="6" t="str">
        <f t="shared" si="11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12"/>
        <v>249</v>
      </c>
      <c r="B250" s="6" t="str">
        <f t="shared" si="11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12"/>
        <v>250</v>
      </c>
      <c r="B251" s="6" t="str">
        <f t="shared" si="11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12"/>
        <v>251</v>
      </c>
      <c r="B252" s="6" t="str">
        <f t="shared" si="11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12"/>
        <v>252</v>
      </c>
      <c r="B253" s="6" t="str">
        <f t="shared" si="11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12"/>
        <v>253</v>
      </c>
      <c r="B254" s="6" t="str">
        <f t="shared" si="11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12"/>
        <v>254</v>
      </c>
      <c r="B255" s="6" t="str">
        <f t="shared" si="11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12"/>
        <v>255</v>
      </c>
      <c r="B256" s="6" t="str">
        <f t="shared" si="11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12"/>
        <v>256</v>
      </c>
      <c r="B257" s="6" t="str">
        <f t="shared" si="11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12"/>
        <v>257</v>
      </c>
      <c r="B258" s="6" t="str">
        <f t="shared" si="11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12"/>
        <v>258</v>
      </c>
      <c r="B259" s="6" t="str">
        <f t="shared" ref="B259:B322" si="13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14">A259+1</f>
        <v>259</v>
      </c>
      <c r="B260" s="6" t="str">
        <f t="shared" si="13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14"/>
        <v>260</v>
      </c>
      <c r="B261" s="6" t="str">
        <f t="shared" si="13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14"/>
        <v>261</v>
      </c>
      <c r="B262" s="6" t="str">
        <f t="shared" si="13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14"/>
        <v>262</v>
      </c>
      <c r="B263" s="6" t="str">
        <f t="shared" si="13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14"/>
        <v>263</v>
      </c>
      <c r="B264" s="6" t="str">
        <f t="shared" si="13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14"/>
        <v>264</v>
      </c>
      <c r="B265" s="6" t="str">
        <f t="shared" si="13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14"/>
        <v>265</v>
      </c>
      <c r="B266" s="6" t="str">
        <f t="shared" si="13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14"/>
        <v>266</v>
      </c>
      <c r="B267" s="6" t="str">
        <f t="shared" si="13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14"/>
        <v>267</v>
      </c>
      <c r="B268" s="6" t="str">
        <f t="shared" si="13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14"/>
        <v>268</v>
      </c>
      <c r="B269" s="6" t="str">
        <f t="shared" si="13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14"/>
        <v>269</v>
      </c>
      <c r="B270" s="6" t="str">
        <f t="shared" si="13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14"/>
        <v>270</v>
      </c>
      <c r="B271" s="6" t="str">
        <f t="shared" si="13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14"/>
        <v>271</v>
      </c>
      <c r="B272" s="6" t="str">
        <f t="shared" si="13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14"/>
        <v>272</v>
      </c>
      <c r="B273" s="6" t="str">
        <f t="shared" si="13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14"/>
        <v>273</v>
      </c>
      <c r="B274" s="6" t="str">
        <f t="shared" si="13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14"/>
        <v>274</v>
      </c>
      <c r="B275" s="6" t="str">
        <f t="shared" si="13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14"/>
        <v>275</v>
      </c>
      <c r="B276" s="6" t="str">
        <f t="shared" si="13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14"/>
        <v>276</v>
      </c>
      <c r="B277" s="6" t="str">
        <f t="shared" si="13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14"/>
        <v>277</v>
      </c>
      <c r="B278" s="6" t="str">
        <f t="shared" si="13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14"/>
        <v>278</v>
      </c>
      <c r="B279" s="6" t="str">
        <f t="shared" si="13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14"/>
        <v>279</v>
      </c>
      <c r="B280" s="6" t="str">
        <f t="shared" si="13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14"/>
        <v>280</v>
      </c>
      <c r="B281" s="6" t="str">
        <f t="shared" si="13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14"/>
        <v>281</v>
      </c>
      <c r="B282" s="6" t="str">
        <f t="shared" si="13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14"/>
        <v>282</v>
      </c>
      <c r="B283" s="6" t="str">
        <f t="shared" si="13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14"/>
        <v>283</v>
      </c>
      <c r="B284" s="6" t="str">
        <f t="shared" si="13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14"/>
        <v>284</v>
      </c>
      <c r="B285" s="6" t="str">
        <f t="shared" si="13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14"/>
        <v>285</v>
      </c>
      <c r="B286" s="6" t="str">
        <f t="shared" si="13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14"/>
        <v>286</v>
      </c>
      <c r="B287" s="6" t="str">
        <f t="shared" si="13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14"/>
        <v>287</v>
      </c>
      <c r="B288" s="6" t="str">
        <f t="shared" si="13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14"/>
        <v>288</v>
      </c>
      <c r="B289" s="6" t="str">
        <f t="shared" si="13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14"/>
        <v>289</v>
      </c>
      <c r="B290" s="6" t="str">
        <f t="shared" si="13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14"/>
        <v>290</v>
      </c>
      <c r="B291" s="6" t="str">
        <f t="shared" si="13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14"/>
        <v>291</v>
      </c>
      <c r="B292" s="6" t="str">
        <f t="shared" si="13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14"/>
        <v>292</v>
      </c>
      <c r="B293" s="6" t="str">
        <f t="shared" si="13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14"/>
        <v>293</v>
      </c>
      <c r="B294" s="6" t="str">
        <f t="shared" si="13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14"/>
        <v>294</v>
      </c>
      <c r="B295" s="6" t="str">
        <f t="shared" si="13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14"/>
        <v>295</v>
      </c>
      <c r="B296" s="6" t="str">
        <f t="shared" si="13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14"/>
        <v>296</v>
      </c>
      <c r="B297" s="6" t="str">
        <f t="shared" si="13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14"/>
        <v>297</v>
      </c>
      <c r="B298" s="6" t="str">
        <f t="shared" si="13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14"/>
        <v>298</v>
      </c>
      <c r="B299" s="6" t="str">
        <f t="shared" si="13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14"/>
        <v>299</v>
      </c>
      <c r="B300" s="6" t="str">
        <f t="shared" si="13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14"/>
        <v>300</v>
      </c>
      <c r="B301" s="6" t="str">
        <f t="shared" si="13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14"/>
        <v>301</v>
      </c>
      <c r="B302" s="6" t="str">
        <f t="shared" si="13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14"/>
        <v>302</v>
      </c>
      <c r="B303" s="6" t="str">
        <f t="shared" si="13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14"/>
        <v>303</v>
      </c>
      <c r="B304" s="6" t="str">
        <f t="shared" si="13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14"/>
        <v>304</v>
      </c>
      <c r="B305" s="6" t="str">
        <f t="shared" si="13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14"/>
        <v>305</v>
      </c>
      <c r="B306" s="6" t="str">
        <f t="shared" si="13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14"/>
        <v>306</v>
      </c>
      <c r="B307" s="6" t="str">
        <f t="shared" si="13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14"/>
        <v>307</v>
      </c>
      <c r="B308" s="6" t="str">
        <f t="shared" si="13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14"/>
        <v>308</v>
      </c>
      <c r="B309" s="6" t="str">
        <f t="shared" si="13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14"/>
        <v>309</v>
      </c>
      <c r="B310" s="6" t="str">
        <f t="shared" si="13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14"/>
        <v>310</v>
      </c>
      <c r="B311" s="6" t="str">
        <f t="shared" si="13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14"/>
        <v>311</v>
      </c>
      <c r="B312" s="6" t="str">
        <f t="shared" si="13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14"/>
        <v>312</v>
      </c>
      <c r="B313" s="6" t="str">
        <f t="shared" si="13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14"/>
        <v>313</v>
      </c>
      <c r="B314" s="6" t="str">
        <f t="shared" si="13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14"/>
        <v>314</v>
      </c>
      <c r="B315" s="6" t="str">
        <f t="shared" si="13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14"/>
        <v>315</v>
      </c>
      <c r="B316" s="6" t="str">
        <f t="shared" si="13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14"/>
        <v>316</v>
      </c>
      <c r="B317" s="6" t="str">
        <f t="shared" si="13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14"/>
        <v>317</v>
      </c>
      <c r="B318" s="6" t="str">
        <f t="shared" si="13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14"/>
        <v>318</v>
      </c>
      <c r="B319" s="6" t="str">
        <f t="shared" si="13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14"/>
        <v>319</v>
      </c>
      <c r="B320" s="6" t="str">
        <f t="shared" si="13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14"/>
        <v>320</v>
      </c>
      <c r="B321" s="6" t="str">
        <f t="shared" si="13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14"/>
        <v>321</v>
      </c>
      <c r="B322" s="6" t="str">
        <f t="shared" si="13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14"/>
        <v>322</v>
      </c>
      <c r="B323" s="6" t="str">
        <f t="shared" ref="B323:B386" si="15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6">A323+1</f>
        <v>323</v>
      </c>
      <c r="B324" s="6" t="str">
        <f t="shared" si="15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6"/>
        <v>324</v>
      </c>
      <c r="B325" s="6" t="str">
        <f t="shared" si="15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6"/>
        <v>325</v>
      </c>
      <c r="B326" s="6" t="str">
        <f t="shared" si="15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6"/>
        <v>326</v>
      </c>
      <c r="B327" s="6" t="str">
        <f t="shared" si="15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6"/>
        <v>327</v>
      </c>
      <c r="B328" s="6" t="str">
        <f t="shared" si="15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6"/>
        <v>328</v>
      </c>
      <c r="B329" s="6" t="str">
        <f t="shared" si="15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6"/>
        <v>329</v>
      </c>
      <c r="B330" s="6" t="str">
        <f t="shared" si="15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6"/>
        <v>330</v>
      </c>
      <c r="B331" s="6" t="str">
        <f t="shared" si="15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6"/>
        <v>331</v>
      </c>
      <c r="B332" s="6" t="str">
        <f t="shared" si="15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6"/>
        <v>332</v>
      </c>
      <c r="B333" s="6" t="str">
        <f t="shared" si="15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6"/>
        <v>333</v>
      </c>
      <c r="B334" s="6" t="str">
        <f t="shared" si="15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6"/>
        <v>334</v>
      </c>
      <c r="B335" s="6" t="str">
        <f t="shared" si="15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6"/>
        <v>335</v>
      </c>
      <c r="B336" s="6" t="str">
        <f t="shared" si="15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6"/>
        <v>336</v>
      </c>
      <c r="B337" s="6" t="str">
        <f t="shared" si="15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6"/>
        <v>337</v>
      </c>
      <c r="B338" s="6" t="str">
        <f t="shared" si="15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6"/>
        <v>338</v>
      </c>
      <c r="B339" s="6" t="str">
        <f t="shared" si="15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6"/>
        <v>339</v>
      </c>
      <c r="B340" s="6" t="str">
        <f t="shared" si="15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6"/>
        <v>340</v>
      </c>
      <c r="B341" s="6" t="str">
        <f t="shared" si="15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6"/>
        <v>341</v>
      </c>
      <c r="B342" s="6" t="str">
        <f t="shared" si="15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6"/>
        <v>342</v>
      </c>
      <c r="B343" s="6" t="str">
        <f t="shared" si="15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6"/>
        <v>343</v>
      </c>
      <c r="B344" s="6" t="str">
        <f t="shared" si="15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6"/>
        <v>344</v>
      </c>
      <c r="B345" s="6" t="str">
        <f t="shared" si="15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6"/>
        <v>345</v>
      </c>
      <c r="B346" s="6" t="str">
        <f t="shared" si="15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6"/>
        <v>346</v>
      </c>
      <c r="B347" s="6" t="str">
        <f t="shared" si="15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6"/>
        <v>347</v>
      </c>
      <c r="B348" s="6" t="str">
        <f t="shared" si="15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6"/>
        <v>348</v>
      </c>
      <c r="B349" s="6" t="str">
        <f t="shared" si="15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6"/>
        <v>349</v>
      </c>
      <c r="B350" s="6" t="str">
        <f t="shared" si="15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6"/>
        <v>350</v>
      </c>
      <c r="B351" s="6" t="str">
        <f t="shared" si="15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6"/>
        <v>351</v>
      </c>
      <c r="B352" s="6" t="str">
        <f t="shared" si="15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6"/>
        <v>352</v>
      </c>
      <c r="B353" s="6" t="str">
        <f t="shared" si="15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6"/>
        <v>353</v>
      </c>
      <c r="B354" s="6" t="str">
        <f t="shared" si="15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6"/>
        <v>354</v>
      </c>
      <c r="B355" s="6" t="str">
        <f t="shared" si="15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6"/>
        <v>355</v>
      </c>
      <c r="B356" s="6" t="str">
        <f t="shared" si="15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6"/>
        <v>356</v>
      </c>
      <c r="B357" s="6" t="str">
        <f t="shared" si="15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6"/>
        <v>357</v>
      </c>
      <c r="B358" s="6" t="str">
        <f t="shared" si="15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6"/>
        <v>358</v>
      </c>
      <c r="B359" s="6" t="str">
        <f t="shared" si="15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6"/>
        <v>359</v>
      </c>
      <c r="B360" s="6" t="str">
        <f t="shared" si="15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6"/>
        <v>360</v>
      </c>
      <c r="B361" s="6" t="str">
        <f t="shared" si="15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6"/>
        <v>361</v>
      </c>
      <c r="B362" s="6" t="str">
        <f t="shared" si="15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6"/>
        <v>362</v>
      </c>
      <c r="B363" s="6" t="str">
        <f t="shared" si="15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6"/>
        <v>363</v>
      </c>
      <c r="B364" s="6" t="str">
        <f t="shared" si="15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6"/>
        <v>364</v>
      </c>
      <c r="B365" s="6" t="str">
        <f t="shared" si="15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6"/>
        <v>365</v>
      </c>
      <c r="B366" s="6" t="str">
        <f t="shared" si="15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6"/>
        <v>366</v>
      </c>
      <c r="B367" s="6" t="str">
        <f t="shared" si="15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6"/>
        <v>367</v>
      </c>
      <c r="B368" s="6" t="str">
        <f t="shared" si="15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6"/>
        <v>368</v>
      </c>
      <c r="B369" s="6" t="str">
        <f t="shared" si="15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6"/>
        <v>369</v>
      </c>
      <c r="B370" s="6" t="str">
        <f t="shared" si="15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6"/>
        <v>370</v>
      </c>
      <c r="B371" s="6" t="str">
        <f t="shared" si="15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6"/>
        <v>371</v>
      </c>
      <c r="B372" s="6" t="str">
        <f t="shared" si="15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6"/>
        <v>372</v>
      </c>
      <c r="B373" s="6" t="str">
        <f t="shared" si="15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6"/>
        <v>373</v>
      </c>
      <c r="B374" s="6" t="str">
        <f t="shared" si="15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6"/>
        <v>374</v>
      </c>
      <c r="B375" s="6" t="str">
        <f t="shared" si="15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6"/>
        <v>375</v>
      </c>
      <c r="B376" s="6" t="str">
        <f t="shared" si="15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6"/>
        <v>376</v>
      </c>
      <c r="B377" s="6" t="str">
        <f t="shared" si="15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6"/>
        <v>377</v>
      </c>
      <c r="B378" s="6" t="str">
        <f t="shared" si="15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6"/>
        <v>378</v>
      </c>
      <c r="B379" s="6" t="str">
        <f t="shared" si="15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6"/>
        <v>379</v>
      </c>
      <c r="B380" s="6" t="str">
        <f t="shared" si="15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6"/>
        <v>380</v>
      </c>
      <c r="B381" s="6" t="str">
        <f t="shared" si="15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6"/>
        <v>381</v>
      </c>
      <c r="B382" s="6" t="str">
        <f t="shared" si="15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6"/>
        <v>382</v>
      </c>
      <c r="B383" s="6" t="str">
        <f t="shared" si="15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6"/>
        <v>383</v>
      </c>
      <c r="B384" s="6" t="str">
        <f t="shared" si="15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6"/>
        <v>384</v>
      </c>
      <c r="B385" s="6" t="str">
        <f t="shared" si="15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6"/>
        <v>385</v>
      </c>
      <c r="B386" s="6" t="str">
        <f t="shared" si="15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6"/>
        <v>386</v>
      </c>
      <c r="B387" s="6" t="str">
        <f t="shared" ref="B387:B450" si="17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8">A387+1</f>
        <v>387</v>
      </c>
      <c r="B388" s="6" t="str">
        <f t="shared" si="17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8"/>
        <v>388</v>
      </c>
      <c r="B389" s="6" t="str">
        <f t="shared" si="17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8"/>
        <v>389</v>
      </c>
      <c r="B390" s="6" t="str">
        <f t="shared" si="17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8"/>
        <v>390</v>
      </c>
      <c r="B391" s="6" t="str">
        <f t="shared" si="17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8"/>
        <v>391</v>
      </c>
      <c r="B392" s="6" t="str">
        <f t="shared" si="17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8"/>
        <v>392</v>
      </c>
      <c r="B393" s="6" t="str">
        <f t="shared" si="17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8"/>
        <v>393</v>
      </c>
      <c r="B394" s="6" t="str">
        <f t="shared" si="17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8"/>
        <v>394</v>
      </c>
      <c r="B395" s="6" t="str">
        <f t="shared" si="17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8"/>
        <v>395</v>
      </c>
      <c r="B396" s="6" t="str">
        <f t="shared" si="17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8"/>
        <v>396</v>
      </c>
      <c r="B397" s="6" t="str">
        <f t="shared" si="17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8"/>
        <v>397</v>
      </c>
      <c r="B398" s="6" t="str">
        <f t="shared" si="17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8"/>
        <v>398</v>
      </c>
      <c r="B399" s="6" t="str">
        <f t="shared" si="17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8"/>
        <v>399</v>
      </c>
      <c r="B400" s="6" t="str">
        <f t="shared" si="17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8"/>
        <v>400</v>
      </c>
      <c r="B401" s="6" t="str">
        <f t="shared" si="17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8"/>
        <v>401</v>
      </c>
      <c r="B402" s="6" t="str">
        <f t="shared" si="17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8"/>
        <v>402</v>
      </c>
      <c r="B403" s="6" t="str">
        <f t="shared" si="17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8"/>
        <v>403</v>
      </c>
      <c r="B404" s="6" t="str">
        <f t="shared" si="17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8"/>
        <v>404</v>
      </c>
      <c r="B405" s="6" t="str">
        <f t="shared" si="17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8"/>
        <v>405</v>
      </c>
      <c r="B406" s="6" t="str">
        <f t="shared" si="17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8"/>
        <v>406</v>
      </c>
      <c r="B407" s="6" t="str">
        <f t="shared" si="17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8"/>
        <v>407</v>
      </c>
      <c r="B408" s="6" t="str">
        <f t="shared" si="17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8"/>
        <v>408</v>
      </c>
      <c r="B409" s="6" t="str">
        <f t="shared" si="17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8"/>
        <v>409</v>
      </c>
      <c r="B410" s="6" t="str">
        <f t="shared" si="17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8"/>
        <v>410</v>
      </c>
      <c r="B411" s="6" t="str">
        <f t="shared" si="17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8"/>
        <v>411</v>
      </c>
      <c r="B412" s="6" t="str">
        <f t="shared" si="17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8"/>
        <v>412</v>
      </c>
      <c r="B413" s="6" t="str">
        <f t="shared" si="17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8"/>
        <v>413</v>
      </c>
      <c r="B414" s="6" t="str">
        <f t="shared" si="17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8"/>
        <v>414</v>
      </c>
      <c r="B415" s="6" t="str">
        <f t="shared" si="17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8"/>
        <v>415</v>
      </c>
      <c r="B416" s="6" t="str">
        <f t="shared" si="17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8"/>
        <v>416</v>
      </c>
      <c r="B417" s="6" t="str">
        <f t="shared" si="17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8"/>
        <v>417</v>
      </c>
      <c r="B418" s="6" t="str">
        <f t="shared" si="17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8"/>
        <v>418</v>
      </c>
      <c r="B419" s="6" t="str">
        <f t="shared" si="17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8"/>
        <v>419</v>
      </c>
      <c r="B420" s="6" t="str">
        <f t="shared" si="17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8"/>
        <v>420</v>
      </c>
      <c r="B421" s="6" t="str">
        <f t="shared" si="17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8"/>
        <v>421</v>
      </c>
      <c r="B422" s="6" t="str">
        <f t="shared" si="17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8"/>
        <v>422</v>
      </c>
      <c r="B423" s="6" t="str">
        <f t="shared" si="17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8"/>
        <v>423</v>
      </c>
      <c r="B424" s="6" t="str">
        <f t="shared" si="17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8"/>
        <v>424</v>
      </c>
      <c r="B425" s="6" t="str">
        <f t="shared" si="17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8"/>
        <v>425</v>
      </c>
      <c r="B426" s="6" t="str">
        <f t="shared" si="17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8"/>
        <v>426</v>
      </c>
      <c r="B427" s="6" t="str">
        <f t="shared" si="17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8"/>
        <v>427</v>
      </c>
      <c r="B428" s="6" t="str">
        <f t="shared" si="17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8"/>
        <v>428</v>
      </c>
      <c r="B429" s="6" t="str">
        <f t="shared" si="17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8"/>
        <v>429</v>
      </c>
      <c r="B430" s="6" t="str">
        <f t="shared" si="17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8"/>
        <v>430</v>
      </c>
      <c r="B431" s="6" t="str">
        <f t="shared" si="17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8"/>
        <v>431</v>
      </c>
      <c r="B432" s="6" t="str">
        <f t="shared" si="17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8"/>
        <v>432</v>
      </c>
      <c r="B433" s="6" t="str">
        <f t="shared" si="17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8"/>
        <v>433</v>
      </c>
      <c r="B434" s="6" t="str">
        <f t="shared" si="17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8"/>
        <v>434</v>
      </c>
      <c r="B435" s="6" t="str">
        <f t="shared" si="17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8"/>
        <v>435</v>
      </c>
      <c r="B436" s="6" t="str">
        <f t="shared" si="17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8"/>
        <v>436</v>
      </c>
      <c r="B437" s="6" t="str">
        <f t="shared" si="17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8"/>
        <v>437</v>
      </c>
      <c r="B438" s="6" t="str">
        <f t="shared" si="17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8"/>
        <v>438</v>
      </c>
      <c r="B439" s="6" t="str">
        <f t="shared" si="17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8"/>
        <v>439</v>
      </c>
      <c r="B440" s="6" t="str">
        <f t="shared" si="17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8"/>
        <v>440</v>
      </c>
      <c r="B441" s="6" t="str">
        <f t="shared" si="17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8"/>
        <v>441</v>
      </c>
      <c r="B442" s="6" t="str">
        <f t="shared" si="17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8"/>
        <v>442</v>
      </c>
      <c r="B443" s="6" t="str">
        <f t="shared" si="17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8"/>
        <v>443</v>
      </c>
      <c r="B444" s="6" t="str">
        <f t="shared" si="17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8"/>
        <v>444</v>
      </c>
      <c r="B445" s="6" t="str">
        <f t="shared" si="17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8"/>
        <v>445</v>
      </c>
      <c r="B446" s="6" t="str">
        <f t="shared" si="17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8"/>
        <v>446</v>
      </c>
      <c r="B447" s="6" t="str">
        <f t="shared" si="17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8"/>
        <v>447</v>
      </c>
      <c r="B448" s="6" t="str">
        <f t="shared" si="17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8"/>
        <v>448</v>
      </c>
      <c r="B449" s="6" t="str">
        <f t="shared" si="17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8"/>
        <v>449</v>
      </c>
      <c r="B450" s="6" t="str">
        <f t="shared" si="17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8"/>
        <v>450</v>
      </c>
      <c r="B451" s="6" t="str">
        <f t="shared" ref="B451:B514" si="19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20">A451+1</f>
        <v>451</v>
      </c>
      <c r="B452" s="6" t="str">
        <f t="shared" si="19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20"/>
        <v>452</v>
      </c>
      <c r="B453" s="6" t="str">
        <f t="shared" si="19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20"/>
        <v>453</v>
      </c>
      <c r="B454" s="6" t="str">
        <f t="shared" si="19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20"/>
        <v>454</v>
      </c>
      <c r="B455" s="6" t="str">
        <f t="shared" si="19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20"/>
        <v>455</v>
      </c>
      <c r="B456" s="6" t="str">
        <f t="shared" si="19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20"/>
        <v>456</v>
      </c>
      <c r="B457" s="6" t="str">
        <f t="shared" si="19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20"/>
        <v>457</v>
      </c>
      <c r="B458" s="6" t="str">
        <f t="shared" si="19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20"/>
        <v>458</v>
      </c>
      <c r="B459" s="6" t="str">
        <f t="shared" si="19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20"/>
        <v>459</v>
      </c>
      <c r="B460" s="6" t="str">
        <f t="shared" si="19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20"/>
        <v>460</v>
      </c>
      <c r="B461" s="6" t="str">
        <f t="shared" si="19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20"/>
        <v>461</v>
      </c>
      <c r="B462" s="6" t="str">
        <f t="shared" si="19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20"/>
        <v>462</v>
      </c>
      <c r="B463" s="6" t="str">
        <f t="shared" si="19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20"/>
        <v>463</v>
      </c>
      <c r="B464" s="6" t="str">
        <f t="shared" si="19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20"/>
        <v>464</v>
      </c>
      <c r="B465" s="6" t="str">
        <f t="shared" si="19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20"/>
        <v>465</v>
      </c>
      <c r="B466" s="6" t="str">
        <f t="shared" si="19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20"/>
        <v>466</v>
      </c>
      <c r="B467" s="6" t="str">
        <f t="shared" si="19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20"/>
        <v>467</v>
      </c>
      <c r="B468" s="6" t="str">
        <f t="shared" si="19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20"/>
        <v>468</v>
      </c>
      <c r="B469" s="6" t="str">
        <f t="shared" si="19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20"/>
        <v>469</v>
      </c>
      <c r="B470" s="6" t="str">
        <f t="shared" si="19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20"/>
        <v>470</v>
      </c>
      <c r="B471" s="6" t="str">
        <f t="shared" si="19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20"/>
        <v>471</v>
      </c>
      <c r="B472" s="6" t="str">
        <f t="shared" si="19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20"/>
        <v>472</v>
      </c>
      <c r="B473" s="6" t="str">
        <f t="shared" si="19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20"/>
        <v>473</v>
      </c>
      <c r="B474" s="6" t="str">
        <f t="shared" si="19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20"/>
        <v>474</v>
      </c>
      <c r="B475" s="6" t="str">
        <f t="shared" si="19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20"/>
        <v>475</v>
      </c>
      <c r="B476" s="6" t="str">
        <f t="shared" si="19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20"/>
        <v>476</v>
      </c>
      <c r="B477" s="6" t="str">
        <f t="shared" si="19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20"/>
        <v>477</v>
      </c>
      <c r="B478" s="6" t="str">
        <f t="shared" si="19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20"/>
        <v>478</v>
      </c>
      <c r="B479" s="6" t="str">
        <f t="shared" si="19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20"/>
        <v>479</v>
      </c>
      <c r="B480" s="6" t="str">
        <f t="shared" si="19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20"/>
        <v>480</v>
      </c>
      <c r="B481" s="6" t="str">
        <f t="shared" si="19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20"/>
        <v>481</v>
      </c>
      <c r="B482" s="6" t="str">
        <f t="shared" si="19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20"/>
        <v>482</v>
      </c>
      <c r="B483" s="6" t="str">
        <f t="shared" si="19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20"/>
        <v>483</v>
      </c>
      <c r="B484" s="6" t="str">
        <f t="shared" si="19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20"/>
        <v>484</v>
      </c>
      <c r="B485" s="6" t="str">
        <f t="shared" si="19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20"/>
        <v>485</v>
      </c>
      <c r="B486" s="6" t="str">
        <f t="shared" si="19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20"/>
        <v>486</v>
      </c>
      <c r="B487" s="6" t="str">
        <f t="shared" si="19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20"/>
        <v>487</v>
      </c>
      <c r="B488" s="6" t="str">
        <f t="shared" si="19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20"/>
        <v>488</v>
      </c>
      <c r="B489" s="6" t="str">
        <f t="shared" si="19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20"/>
        <v>489</v>
      </c>
      <c r="B490" s="6" t="str">
        <f t="shared" si="19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20"/>
        <v>490</v>
      </c>
      <c r="B491" s="6" t="str">
        <f t="shared" si="19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20"/>
        <v>491</v>
      </c>
      <c r="B492" s="6" t="str">
        <f t="shared" si="19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20"/>
        <v>492</v>
      </c>
      <c r="B493" s="6" t="str">
        <f t="shared" si="19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20"/>
        <v>493</v>
      </c>
      <c r="B494" s="6" t="str">
        <f t="shared" si="19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20"/>
        <v>494</v>
      </c>
      <c r="B495" s="6" t="str">
        <f t="shared" si="19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20"/>
        <v>495</v>
      </c>
      <c r="B496" s="6" t="str">
        <f t="shared" si="19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20"/>
        <v>496</v>
      </c>
      <c r="B497" s="6" t="str">
        <f t="shared" si="19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20"/>
        <v>497</v>
      </c>
      <c r="B498" s="6" t="str">
        <f t="shared" si="19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20"/>
        <v>498</v>
      </c>
      <c r="B499" s="6" t="str">
        <f t="shared" si="19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20"/>
        <v>499</v>
      </c>
      <c r="B500" s="6" t="str">
        <f t="shared" si="19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20"/>
        <v>500</v>
      </c>
      <c r="B501" s="6" t="str">
        <f t="shared" si="19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20"/>
        <v>501</v>
      </c>
      <c r="B502" s="6" t="str">
        <f t="shared" si="19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20"/>
        <v>502</v>
      </c>
      <c r="B503" s="6" t="str">
        <f t="shared" si="19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20"/>
        <v>503</v>
      </c>
      <c r="B504" s="6" t="str">
        <f t="shared" si="19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20"/>
        <v>504</v>
      </c>
      <c r="B505" s="6" t="str">
        <f t="shared" si="19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20"/>
        <v>505</v>
      </c>
      <c r="B506" s="6" t="str">
        <f t="shared" si="19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20"/>
        <v>506</v>
      </c>
      <c r="B507" s="6" t="str">
        <f t="shared" si="19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20"/>
        <v>507</v>
      </c>
      <c r="B508" s="6" t="str">
        <f t="shared" si="19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20"/>
        <v>508</v>
      </c>
      <c r="B509" s="6" t="str">
        <f t="shared" si="19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20"/>
        <v>509</v>
      </c>
      <c r="B510" s="6" t="str">
        <f t="shared" si="19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20"/>
        <v>510</v>
      </c>
      <c r="B511" s="6" t="str">
        <f t="shared" si="19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20"/>
        <v>511</v>
      </c>
      <c r="B512" s="6" t="str">
        <f t="shared" si="19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20"/>
        <v>512</v>
      </c>
      <c r="B513" s="6" t="str">
        <f t="shared" si="19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20"/>
        <v>513</v>
      </c>
      <c r="B514" s="6" t="str">
        <f t="shared" si="19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20"/>
        <v>514</v>
      </c>
      <c r="B515" s="6" t="str">
        <f t="shared" ref="B515:B578" si="21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22">A515+1</f>
        <v>515</v>
      </c>
      <c r="B516" s="6" t="str">
        <f t="shared" si="21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22"/>
        <v>516</v>
      </c>
      <c r="B517" s="6" t="str">
        <f t="shared" si="21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22"/>
        <v>517</v>
      </c>
      <c r="B518" s="6" t="str">
        <f t="shared" si="21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22"/>
        <v>518</v>
      </c>
      <c r="B519" s="6" t="str">
        <f t="shared" si="21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22"/>
        <v>519</v>
      </c>
      <c r="B520" s="6" t="str">
        <f t="shared" si="21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22"/>
        <v>520</v>
      </c>
      <c r="B521" s="6" t="str">
        <f t="shared" si="21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22"/>
        <v>521</v>
      </c>
      <c r="B522" s="6" t="str">
        <f t="shared" si="21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22"/>
        <v>522</v>
      </c>
      <c r="B523" s="6" t="str">
        <f t="shared" si="21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22"/>
        <v>523</v>
      </c>
      <c r="B524" s="6" t="str">
        <f t="shared" si="21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22"/>
        <v>524</v>
      </c>
      <c r="B525" s="6" t="str">
        <f t="shared" si="21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22"/>
        <v>525</v>
      </c>
      <c r="B526" s="6" t="str">
        <f t="shared" si="21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22"/>
        <v>526</v>
      </c>
      <c r="B527" s="6" t="str">
        <f t="shared" si="21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22"/>
        <v>527</v>
      </c>
      <c r="B528" s="6" t="str">
        <f t="shared" si="21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22"/>
        <v>528</v>
      </c>
      <c r="B529" s="6" t="str">
        <f t="shared" si="21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22"/>
        <v>529</v>
      </c>
      <c r="B530" s="6" t="str">
        <f t="shared" si="21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22"/>
        <v>530</v>
      </c>
      <c r="B531" s="6" t="str">
        <f t="shared" si="21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22"/>
        <v>531</v>
      </c>
      <c r="B532" s="6" t="str">
        <f t="shared" si="21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22"/>
        <v>532</v>
      </c>
      <c r="B533" s="6" t="str">
        <f t="shared" si="21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22"/>
        <v>533</v>
      </c>
      <c r="B534" s="6" t="str">
        <f t="shared" si="21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22"/>
        <v>534</v>
      </c>
      <c r="B535" s="6" t="str">
        <f t="shared" si="21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22"/>
        <v>535</v>
      </c>
      <c r="B536" s="6" t="str">
        <f t="shared" si="21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22"/>
        <v>536</v>
      </c>
      <c r="B537" s="6" t="str">
        <f t="shared" si="21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22"/>
        <v>537</v>
      </c>
      <c r="B538" s="6" t="str">
        <f t="shared" si="21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22"/>
        <v>538</v>
      </c>
      <c r="B539" s="6" t="str">
        <f t="shared" si="21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22"/>
        <v>539</v>
      </c>
      <c r="B540" s="6" t="str">
        <f t="shared" si="21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22"/>
        <v>540</v>
      </c>
      <c r="B541" s="6" t="str">
        <f t="shared" si="21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22"/>
        <v>541</v>
      </c>
      <c r="B542" s="6" t="str">
        <f t="shared" si="21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22"/>
        <v>542</v>
      </c>
      <c r="B543" s="6" t="str">
        <f t="shared" si="21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22"/>
        <v>543</v>
      </c>
      <c r="B544" s="6" t="str">
        <f t="shared" si="21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22"/>
        <v>544</v>
      </c>
      <c r="B545" s="6" t="str">
        <f t="shared" si="21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22"/>
        <v>545</v>
      </c>
      <c r="B546" s="6" t="str">
        <f t="shared" si="21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22"/>
        <v>546</v>
      </c>
      <c r="B547" s="6" t="str">
        <f t="shared" si="21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22"/>
        <v>547</v>
      </c>
      <c r="B548" s="6" t="str">
        <f t="shared" si="21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22"/>
        <v>548</v>
      </c>
      <c r="B549" s="6" t="str">
        <f t="shared" si="21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22"/>
        <v>549</v>
      </c>
      <c r="B550" s="6" t="str">
        <f t="shared" si="21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22"/>
        <v>550</v>
      </c>
      <c r="B551" s="6" t="str">
        <f t="shared" si="21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22"/>
        <v>551</v>
      </c>
      <c r="B552" s="6" t="str">
        <f t="shared" si="21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22"/>
        <v>552</v>
      </c>
      <c r="B553" s="6" t="str">
        <f t="shared" si="21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22"/>
        <v>553</v>
      </c>
      <c r="B554" s="6" t="str">
        <f t="shared" si="21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22"/>
        <v>554</v>
      </c>
      <c r="B555" s="6" t="str">
        <f t="shared" si="21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22"/>
        <v>555</v>
      </c>
      <c r="B556" s="6" t="str">
        <f t="shared" si="21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22"/>
        <v>556</v>
      </c>
      <c r="B557" s="6" t="str">
        <f t="shared" si="21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22"/>
        <v>557</v>
      </c>
      <c r="B558" s="6" t="str">
        <f t="shared" si="21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22"/>
        <v>558</v>
      </c>
      <c r="B559" s="6" t="str">
        <f t="shared" si="21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22"/>
        <v>559</v>
      </c>
      <c r="B560" s="6" t="str">
        <f t="shared" si="21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22"/>
        <v>560</v>
      </c>
      <c r="B561" s="6" t="str">
        <f t="shared" si="21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22"/>
        <v>561</v>
      </c>
      <c r="B562" s="6" t="str">
        <f t="shared" si="21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22"/>
        <v>562</v>
      </c>
      <c r="B563" s="6" t="str">
        <f t="shared" si="21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22"/>
        <v>563</v>
      </c>
      <c r="B564" s="6" t="str">
        <f t="shared" si="21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22"/>
        <v>564</v>
      </c>
      <c r="B565" s="6" t="str">
        <f t="shared" si="21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22"/>
        <v>565</v>
      </c>
      <c r="B566" s="6" t="str">
        <f t="shared" si="21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22"/>
        <v>566</v>
      </c>
      <c r="B567" s="6" t="str">
        <f t="shared" si="21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22"/>
        <v>567</v>
      </c>
      <c r="B568" s="6" t="str">
        <f t="shared" si="21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22"/>
        <v>568</v>
      </c>
      <c r="B569" s="6" t="str">
        <f t="shared" si="21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22"/>
        <v>569</v>
      </c>
      <c r="B570" s="6" t="str">
        <f t="shared" si="21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22"/>
        <v>570</v>
      </c>
      <c r="B571" s="6" t="str">
        <f t="shared" si="21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22"/>
        <v>571</v>
      </c>
      <c r="B572" s="6" t="str">
        <f t="shared" si="21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22"/>
        <v>572</v>
      </c>
      <c r="B573" s="6" t="str">
        <f t="shared" si="21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22"/>
        <v>573</v>
      </c>
      <c r="B574" s="6" t="str">
        <f t="shared" si="21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22"/>
        <v>574</v>
      </c>
      <c r="B575" s="6" t="str">
        <f t="shared" si="21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22"/>
        <v>575</v>
      </c>
      <c r="B576" s="6" t="str">
        <f t="shared" si="21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22"/>
        <v>576</v>
      </c>
      <c r="B577" s="6" t="str">
        <f t="shared" si="21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22"/>
        <v>577</v>
      </c>
      <c r="B578" s="6" t="str">
        <f t="shared" si="21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22"/>
        <v>578</v>
      </c>
      <c r="B579" s="6" t="str">
        <f t="shared" ref="B579:B642" si="23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24">A579+1</f>
        <v>579</v>
      </c>
      <c r="B580" s="6" t="str">
        <f t="shared" si="23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24"/>
        <v>580</v>
      </c>
      <c r="B581" s="6" t="str">
        <f t="shared" si="23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24"/>
        <v>581</v>
      </c>
      <c r="B582" s="6" t="str">
        <f t="shared" si="23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24"/>
        <v>582</v>
      </c>
      <c r="B583" s="6" t="str">
        <f t="shared" si="23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24"/>
        <v>583</v>
      </c>
      <c r="B584" s="6" t="str">
        <f t="shared" si="23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24"/>
        <v>584</v>
      </c>
      <c r="B585" s="6" t="str">
        <f t="shared" si="23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24"/>
        <v>585</v>
      </c>
      <c r="B586" s="6" t="str">
        <f t="shared" si="23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24"/>
        <v>586</v>
      </c>
      <c r="B587" s="6" t="str">
        <f t="shared" si="23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24"/>
        <v>587</v>
      </c>
      <c r="B588" s="6" t="str">
        <f t="shared" si="23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24"/>
        <v>588</v>
      </c>
      <c r="B589" s="6" t="str">
        <f t="shared" si="23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24"/>
        <v>589</v>
      </c>
      <c r="B590" s="6" t="str">
        <f t="shared" si="23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24"/>
        <v>590</v>
      </c>
      <c r="B591" s="6" t="str">
        <f t="shared" si="23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24"/>
        <v>591</v>
      </c>
      <c r="B592" s="6" t="str">
        <f t="shared" si="23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24"/>
        <v>592</v>
      </c>
      <c r="B593" s="6" t="str">
        <f t="shared" si="23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24"/>
        <v>593</v>
      </c>
      <c r="B594" s="6" t="str">
        <f t="shared" si="23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24"/>
        <v>594</v>
      </c>
      <c r="B595" s="6" t="str">
        <f t="shared" si="23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24"/>
        <v>595</v>
      </c>
      <c r="B596" s="6" t="str">
        <f t="shared" si="23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24"/>
        <v>596</v>
      </c>
      <c r="B597" s="6" t="str">
        <f t="shared" si="23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24"/>
        <v>597</v>
      </c>
      <c r="B598" s="6" t="str">
        <f t="shared" si="23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24"/>
        <v>598</v>
      </c>
      <c r="B599" s="6" t="str">
        <f t="shared" si="23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24"/>
        <v>599</v>
      </c>
      <c r="B600" s="6" t="str">
        <f t="shared" si="23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24"/>
        <v>600</v>
      </c>
      <c r="B601" s="6" t="str">
        <f t="shared" si="23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24"/>
        <v>601</v>
      </c>
      <c r="B602" s="6" t="str">
        <f t="shared" si="23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24"/>
        <v>602</v>
      </c>
      <c r="B603" s="6" t="str">
        <f t="shared" si="23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24"/>
        <v>603</v>
      </c>
      <c r="B604" s="6" t="str">
        <f t="shared" si="23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24"/>
        <v>604</v>
      </c>
      <c r="B605" s="6" t="str">
        <f t="shared" si="23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24"/>
        <v>605</v>
      </c>
      <c r="B606" s="6" t="str">
        <f t="shared" si="23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24"/>
        <v>606</v>
      </c>
      <c r="B607" s="6" t="str">
        <f t="shared" si="23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24"/>
        <v>607</v>
      </c>
      <c r="B608" s="6" t="str">
        <f t="shared" si="23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24"/>
        <v>608</v>
      </c>
      <c r="B609" s="6" t="str">
        <f t="shared" si="23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24"/>
        <v>609</v>
      </c>
      <c r="B610" s="6" t="str">
        <f t="shared" si="23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24"/>
        <v>610</v>
      </c>
      <c r="B611" s="6" t="str">
        <f t="shared" si="23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24"/>
        <v>611</v>
      </c>
      <c r="B612" s="6" t="str">
        <f t="shared" si="23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24"/>
        <v>612</v>
      </c>
      <c r="B613" s="6" t="str">
        <f t="shared" si="23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24"/>
        <v>613</v>
      </c>
      <c r="B614" s="6" t="str">
        <f t="shared" si="23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24"/>
        <v>614</v>
      </c>
      <c r="B615" s="6" t="str">
        <f t="shared" si="23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24"/>
        <v>615</v>
      </c>
      <c r="B616" s="6" t="str">
        <f t="shared" si="23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24"/>
        <v>616</v>
      </c>
      <c r="B617" s="6" t="str">
        <f t="shared" si="23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24"/>
        <v>617</v>
      </c>
      <c r="B618" s="6" t="str">
        <f t="shared" si="23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24"/>
        <v>618</v>
      </c>
      <c r="B619" s="6" t="str">
        <f t="shared" si="23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24"/>
        <v>619</v>
      </c>
      <c r="B620" s="6" t="str">
        <f t="shared" si="23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24"/>
        <v>620</v>
      </c>
      <c r="B621" s="6" t="str">
        <f t="shared" si="23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24"/>
        <v>621</v>
      </c>
      <c r="B622" s="6" t="str">
        <f t="shared" si="23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24"/>
        <v>622</v>
      </c>
      <c r="B623" s="6" t="str">
        <f t="shared" si="23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24"/>
        <v>623</v>
      </c>
      <c r="B624" s="6" t="str">
        <f t="shared" si="23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24"/>
        <v>624</v>
      </c>
      <c r="B625" s="6" t="str">
        <f t="shared" si="23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24"/>
        <v>625</v>
      </c>
      <c r="B626" s="6" t="str">
        <f t="shared" si="23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24"/>
        <v>626</v>
      </c>
      <c r="B627" s="6" t="str">
        <f t="shared" si="23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24"/>
        <v>627</v>
      </c>
      <c r="B628" s="6" t="str">
        <f t="shared" si="23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24"/>
        <v>628</v>
      </c>
      <c r="B629" s="6" t="str">
        <f t="shared" si="23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24"/>
        <v>629</v>
      </c>
      <c r="B630" s="6" t="str">
        <f t="shared" si="23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24"/>
        <v>630</v>
      </c>
      <c r="B631" s="6" t="str">
        <f t="shared" si="23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24"/>
        <v>631</v>
      </c>
      <c r="B632" s="6" t="str">
        <f t="shared" si="23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24"/>
        <v>632</v>
      </c>
      <c r="B633" s="6" t="str">
        <f t="shared" si="23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24"/>
        <v>633</v>
      </c>
      <c r="B634" s="6" t="str">
        <f t="shared" si="23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24"/>
        <v>634</v>
      </c>
      <c r="B635" s="6" t="str">
        <f t="shared" si="23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24"/>
        <v>635</v>
      </c>
      <c r="B636" s="6" t="str">
        <f t="shared" si="23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24"/>
        <v>636</v>
      </c>
      <c r="B637" s="6" t="str">
        <f t="shared" si="23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24"/>
        <v>637</v>
      </c>
      <c r="B638" s="6" t="str">
        <f t="shared" si="23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24"/>
        <v>638</v>
      </c>
      <c r="B639" s="6" t="str">
        <f t="shared" si="23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24"/>
        <v>639</v>
      </c>
      <c r="B640" s="6" t="str">
        <f t="shared" si="23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24"/>
        <v>640</v>
      </c>
      <c r="B641" s="6" t="str">
        <f t="shared" si="23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24"/>
        <v>641</v>
      </c>
      <c r="B642" s="6" t="str">
        <f t="shared" si="23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24"/>
        <v>642</v>
      </c>
      <c r="B643" s="6" t="str">
        <f t="shared" ref="B643:B706" si="25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6">A643+1</f>
        <v>643</v>
      </c>
      <c r="B644" s="6" t="str">
        <f t="shared" si="25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6"/>
        <v>644</v>
      </c>
      <c r="B645" s="6" t="str">
        <f t="shared" si="25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6"/>
        <v>645</v>
      </c>
      <c r="B646" s="6" t="str">
        <f t="shared" si="25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6"/>
        <v>646</v>
      </c>
      <c r="B647" s="6" t="str">
        <f t="shared" si="25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6"/>
        <v>647</v>
      </c>
      <c r="B648" s="6" t="str">
        <f t="shared" si="25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6"/>
        <v>648</v>
      </c>
      <c r="B649" s="6" t="str">
        <f t="shared" si="25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6"/>
        <v>649</v>
      </c>
      <c r="B650" s="6" t="str">
        <f t="shared" si="25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6"/>
        <v>650</v>
      </c>
      <c r="B651" s="6" t="str">
        <f t="shared" si="25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6"/>
        <v>651</v>
      </c>
      <c r="B652" s="6" t="str">
        <f t="shared" si="25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6"/>
        <v>652</v>
      </c>
      <c r="B653" s="6" t="str">
        <f t="shared" si="25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6"/>
        <v>653</v>
      </c>
      <c r="B654" s="6" t="str">
        <f t="shared" si="25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6"/>
        <v>654</v>
      </c>
      <c r="B655" s="6" t="str">
        <f t="shared" si="25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6"/>
        <v>655</v>
      </c>
      <c r="B656" s="6" t="str">
        <f t="shared" si="25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6"/>
        <v>656</v>
      </c>
      <c r="B657" s="6" t="str">
        <f t="shared" si="25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6"/>
        <v>657</v>
      </c>
      <c r="B658" s="6" t="str">
        <f t="shared" si="25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6"/>
        <v>658</v>
      </c>
      <c r="B659" s="6" t="str">
        <f t="shared" si="25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6"/>
        <v>659</v>
      </c>
      <c r="B660" s="6" t="str">
        <f t="shared" si="25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6"/>
        <v>660</v>
      </c>
      <c r="B661" s="6" t="str">
        <f t="shared" si="25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6"/>
        <v>661</v>
      </c>
      <c r="B662" s="6" t="str">
        <f t="shared" si="25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6"/>
        <v>662</v>
      </c>
      <c r="B663" s="6" t="str">
        <f t="shared" si="25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6"/>
        <v>663</v>
      </c>
      <c r="B664" s="6" t="str">
        <f t="shared" si="25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6"/>
        <v>664</v>
      </c>
      <c r="B665" s="6" t="str">
        <f t="shared" si="25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6"/>
        <v>665</v>
      </c>
      <c r="B666" s="6" t="str">
        <f t="shared" si="25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6"/>
        <v>666</v>
      </c>
      <c r="B667" s="6" t="str">
        <f t="shared" si="25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6"/>
        <v>667</v>
      </c>
      <c r="B668" s="6" t="str">
        <f t="shared" si="25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6"/>
        <v>668</v>
      </c>
      <c r="B669" s="6" t="str">
        <f t="shared" si="25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6"/>
        <v>669</v>
      </c>
      <c r="B670" s="6" t="str">
        <f t="shared" si="25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6"/>
        <v>670</v>
      </c>
      <c r="B671" s="6" t="str">
        <f t="shared" si="25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6"/>
        <v>671</v>
      </c>
      <c r="B672" s="6" t="str">
        <f t="shared" si="25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6"/>
        <v>672</v>
      </c>
      <c r="B673" s="6" t="str">
        <f t="shared" si="25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6"/>
        <v>673</v>
      </c>
      <c r="B674" s="6" t="str">
        <f t="shared" si="25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6"/>
        <v>674</v>
      </c>
      <c r="B675" s="6" t="str">
        <f t="shared" si="25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6"/>
        <v>675</v>
      </c>
      <c r="B676" s="6" t="str">
        <f t="shared" si="25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6"/>
        <v>676</v>
      </c>
      <c r="B677" s="6" t="str">
        <f t="shared" si="25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6"/>
        <v>677</v>
      </c>
      <c r="B678" s="6" t="str">
        <f t="shared" si="25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6"/>
        <v>678</v>
      </c>
      <c r="B679" s="6" t="str">
        <f t="shared" si="25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6"/>
        <v>679</v>
      </c>
      <c r="B680" s="6" t="str">
        <f t="shared" si="25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6"/>
        <v>680</v>
      </c>
      <c r="B681" s="6" t="str">
        <f t="shared" si="25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6"/>
        <v>681</v>
      </c>
      <c r="B682" s="6" t="str">
        <f t="shared" si="25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6"/>
        <v>682</v>
      </c>
      <c r="B683" s="6" t="str">
        <f t="shared" si="25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6"/>
        <v>683</v>
      </c>
      <c r="B684" s="6" t="str">
        <f t="shared" si="25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6"/>
        <v>684</v>
      </c>
      <c r="B685" s="6" t="str">
        <f t="shared" si="25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6"/>
        <v>685</v>
      </c>
      <c r="B686" s="6" t="str">
        <f t="shared" si="25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6"/>
        <v>686</v>
      </c>
      <c r="B687" s="6" t="str">
        <f t="shared" si="25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6"/>
        <v>687</v>
      </c>
      <c r="B688" s="6" t="str">
        <f t="shared" si="25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6"/>
        <v>688</v>
      </c>
      <c r="B689" s="6" t="str">
        <f t="shared" si="25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6"/>
        <v>689</v>
      </c>
      <c r="B690" s="6" t="str">
        <f t="shared" si="25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6"/>
        <v>690</v>
      </c>
      <c r="B691" s="6" t="str">
        <f t="shared" si="25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6"/>
        <v>691</v>
      </c>
      <c r="B692" s="6" t="str">
        <f t="shared" si="25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6"/>
        <v>692</v>
      </c>
      <c r="B693" s="6" t="str">
        <f t="shared" si="25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6"/>
        <v>693</v>
      </c>
      <c r="B694" s="6" t="str">
        <f t="shared" si="25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6"/>
        <v>694</v>
      </c>
      <c r="B695" s="6" t="str">
        <f t="shared" si="25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6"/>
        <v>695</v>
      </c>
      <c r="B696" s="6" t="str">
        <f t="shared" si="25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6"/>
        <v>696</v>
      </c>
      <c r="B697" s="6" t="str">
        <f t="shared" si="25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6"/>
        <v>697</v>
      </c>
      <c r="B698" s="6" t="str">
        <f t="shared" si="25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6"/>
        <v>698</v>
      </c>
      <c r="B699" s="6" t="str">
        <f t="shared" si="25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6"/>
        <v>699</v>
      </c>
      <c r="B700" s="6" t="str">
        <f t="shared" si="25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6"/>
        <v>700</v>
      </c>
      <c r="B701" s="6" t="str">
        <f t="shared" si="25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6"/>
        <v>701</v>
      </c>
      <c r="B702" s="6" t="str">
        <f t="shared" si="25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6"/>
        <v>702</v>
      </c>
      <c r="B703" s="6" t="str">
        <f t="shared" si="25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6"/>
        <v>703</v>
      </c>
      <c r="B704" s="6" t="str">
        <f t="shared" si="25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6"/>
        <v>704</v>
      </c>
      <c r="B705" s="6" t="str">
        <f t="shared" si="25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6"/>
        <v>705</v>
      </c>
      <c r="B706" s="6" t="str">
        <f t="shared" si="25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6"/>
        <v>706</v>
      </c>
      <c r="B707" s="6" t="str">
        <f t="shared" ref="B707:B770" si="27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8">A707+1</f>
        <v>707</v>
      </c>
      <c r="B708" s="6" t="str">
        <f t="shared" si="27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8"/>
        <v>708</v>
      </c>
      <c r="B709" s="6" t="str">
        <f t="shared" si="27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8"/>
        <v>709</v>
      </c>
      <c r="B710" s="6" t="str">
        <f t="shared" si="27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8"/>
        <v>710</v>
      </c>
      <c r="B711" s="6" t="str">
        <f t="shared" si="27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8"/>
        <v>711</v>
      </c>
      <c r="B712" s="6" t="str">
        <f t="shared" si="27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8"/>
        <v>712</v>
      </c>
      <c r="B713" s="6" t="str">
        <f t="shared" si="27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8"/>
        <v>713</v>
      </c>
      <c r="B714" s="6" t="str">
        <f t="shared" si="27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8"/>
        <v>714</v>
      </c>
      <c r="B715" s="6" t="str">
        <f t="shared" si="27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8"/>
        <v>715</v>
      </c>
      <c r="B716" s="6" t="str">
        <f t="shared" si="27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8"/>
        <v>716</v>
      </c>
      <c r="B717" s="6" t="str">
        <f t="shared" si="27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8"/>
        <v>717</v>
      </c>
      <c r="B718" s="6" t="str">
        <f t="shared" si="27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8"/>
        <v>718</v>
      </c>
      <c r="B719" s="6" t="str">
        <f t="shared" si="27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8"/>
        <v>719</v>
      </c>
      <c r="B720" s="6" t="str">
        <f t="shared" si="27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8"/>
        <v>720</v>
      </c>
      <c r="B721" s="6" t="str">
        <f t="shared" si="27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8"/>
        <v>721</v>
      </c>
      <c r="B722" s="6" t="str">
        <f t="shared" si="27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8"/>
        <v>722</v>
      </c>
      <c r="B723" s="6" t="str">
        <f t="shared" si="27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8"/>
        <v>723</v>
      </c>
      <c r="B724" s="6" t="str">
        <f t="shared" si="27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8"/>
        <v>724</v>
      </c>
      <c r="B725" s="6" t="str">
        <f t="shared" si="27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8"/>
        <v>725</v>
      </c>
      <c r="B726" s="6" t="str">
        <f t="shared" si="27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8"/>
        <v>726</v>
      </c>
      <c r="B727" s="6" t="str">
        <f t="shared" si="27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8"/>
        <v>727</v>
      </c>
      <c r="B728" s="6" t="str">
        <f t="shared" si="27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8"/>
        <v>728</v>
      </c>
      <c r="B729" s="6" t="str">
        <f t="shared" si="27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8"/>
        <v>729</v>
      </c>
      <c r="B730" s="6" t="str">
        <f t="shared" si="27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8"/>
        <v>730</v>
      </c>
      <c r="B731" s="6" t="str">
        <f t="shared" si="27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8"/>
        <v>731</v>
      </c>
      <c r="B732" s="6" t="str">
        <f t="shared" si="27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8"/>
        <v>732</v>
      </c>
      <c r="B733" s="6" t="str">
        <f t="shared" si="27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8"/>
        <v>733</v>
      </c>
      <c r="B734" s="6" t="str">
        <f t="shared" si="27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8"/>
        <v>734</v>
      </c>
      <c r="B735" s="6" t="str">
        <f t="shared" si="27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8"/>
        <v>735</v>
      </c>
      <c r="B736" s="6" t="str">
        <f t="shared" si="27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8"/>
        <v>736</v>
      </c>
      <c r="B737" s="6" t="str">
        <f t="shared" si="27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8"/>
        <v>737</v>
      </c>
      <c r="B738" s="6" t="str">
        <f t="shared" si="27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8"/>
        <v>738</v>
      </c>
      <c r="B739" s="6" t="str">
        <f t="shared" si="27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8"/>
        <v>739</v>
      </c>
      <c r="B740" s="6" t="str">
        <f t="shared" si="27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8"/>
        <v>740</v>
      </c>
      <c r="B741" s="6" t="str">
        <f t="shared" si="27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8"/>
        <v>741</v>
      </c>
      <c r="B742" s="6" t="str">
        <f t="shared" si="27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8"/>
        <v>742</v>
      </c>
      <c r="B743" s="6" t="str">
        <f t="shared" si="27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8"/>
        <v>743</v>
      </c>
      <c r="B744" s="6" t="str">
        <f t="shared" si="27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8"/>
        <v>744</v>
      </c>
      <c r="B745" s="6" t="str">
        <f t="shared" si="27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8"/>
        <v>745</v>
      </c>
      <c r="B746" s="6" t="str">
        <f t="shared" si="27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8"/>
        <v>746</v>
      </c>
      <c r="B747" s="6" t="str">
        <f t="shared" si="27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8"/>
        <v>747</v>
      </c>
      <c r="B748" s="6" t="str">
        <f t="shared" si="27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8"/>
        <v>748</v>
      </c>
      <c r="B749" s="6" t="str">
        <f t="shared" si="27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8"/>
        <v>749</v>
      </c>
      <c r="B750" s="6" t="str">
        <f t="shared" si="27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8"/>
        <v>750</v>
      </c>
      <c r="B751" s="6" t="str">
        <f t="shared" si="27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8"/>
        <v>751</v>
      </c>
      <c r="B752" s="6" t="str">
        <f t="shared" si="27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8"/>
        <v>752</v>
      </c>
      <c r="B753" s="6" t="str">
        <f t="shared" si="27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8"/>
        <v>753</v>
      </c>
      <c r="B754" s="6" t="str">
        <f t="shared" si="27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8"/>
        <v>754</v>
      </c>
      <c r="B755" s="6" t="str">
        <f t="shared" si="27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8"/>
        <v>755</v>
      </c>
      <c r="B756" s="6" t="str">
        <f t="shared" si="27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8"/>
        <v>756</v>
      </c>
      <c r="B757" s="6" t="str">
        <f t="shared" si="27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8"/>
        <v>757</v>
      </c>
      <c r="B758" s="6" t="str">
        <f t="shared" si="27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8"/>
        <v>758</v>
      </c>
      <c r="B759" s="6" t="str">
        <f t="shared" si="27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8"/>
        <v>759</v>
      </c>
      <c r="B760" s="6" t="str">
        <f t="shared" si="27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8"/>
        <v>760</v>
      </c>
      <c r="B761" s="6" t="str">
        <f t="shared" si="27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8"/>
        <v>761</v>
      </c>
      <c r="B762" s="6" t="str">
        <f t="shared" si="27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8"/>
        <v>762</v>
      </c>
      <c r="B763" s="6" t="str">
        <f t="shared" si="27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8"/>
        <v>763</v>
      </c>
      <c r="B764" s="6" t="str">
        <f t="shared" si="27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8"/>
        <v>764</v>
      </c>
      <c r="B765" s="6" t="str">
        <f t="shared" si="27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8"/>
        <v>765</v>
      </c>
      <c r="B766" s="6" t="str">
        <f t="shared" si="27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8"/>
        <v>766</v>
      </c>
      <c r="B767" s="6" t="str">
        <f t="shared" si="27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8"/>
        <v>767</v>
      </c>
      <c r="B768" s="6" t="str">
        <f t="shared" si="27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8"/>
        <v>768</v>
      </c>
      <c r="B769" s="6" t="str">
        <f t="shared" si="27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8"/>
        <v>769</v>
      </c>
      <c r="B770" s="6" t="str">
        <f t="shared" si="27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8"/>
        <v>770</v>
      </c>
      <c r="B771" s="6" t="str">
        <f t="shared" ref="B771:B834" si="29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30">A771+1</f>
        <v>771</v>
      </c>
      <c r="B772" s="6" t="str">
        <f t="shared" si="29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30"/>
        <v>772</v>
      </c>
      <c r="B773" s="6" t="str">
        <f t="shared" si="29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30"/>
        <v>773</v>
      </c>
      <c r="B774" s="6" t="str">
        <f t="shared" si="29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30"/>
        <v>774</v>
      </c>
      <c r="B775" s="6" t="str">
        <f t="shared" si="29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30"/>
        <v>775</v>
      </c>
      <c r="B776" s="6" t="str">
        <f t="shared" si="29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30"/>
        <v>776</v>
      </c>
      <c r="B777" s="6" t="str">
        <f t="shared" si="29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30"/>
        <v>777</v>
      </c>
      <c r="B778" s="6" t="str">
        <f t="shared" si="29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30"/>
        <v>778</v>
      </c>
      <c r="B779" s="6" t="str">
        <f t="shared" si="29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30"/>
        <v>779</v>
      </c>
      <c r="B780" s="6" t="str">
        <f t="shared" si="29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30"/>
        <v>780</v>
      </c>
      <c r="B781" s="6" t="str">
        <f t="shared" si="29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30"/>
        <v>781</v>
      </c>
      <c r="B782" s="6" t="str">
        <f t="shared" si="29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30"/>
        <v>782</v>
      </c>
      <c r="B783" s="6" t="str">
        <f t="shared" si="29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30"/>
        <v>783</v>
      </c>
      <c r="B784" s="6" t="str">
        <f t="shared" si="29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30"/>
        <v>784</v>
      </c>
      <c r="B785" s="6" t="str">
        <f t="shared" si="29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30"/>
        <v>785</v>
      </c>
      <c r="B786" s="6" t="str">
        <f t="shared" si="29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30"/>
        <v>786</v>
      </c>
      <c r="B787" s="6" t="str">
        <f t="shared" si="29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30"/>
        <v>787</v>
      </c>
      <c r="B788" s="6" t="str">
        <f t="shared" si="29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30"/>
        <v>788</v>
      </c>
      <c r="B789" s="6" t="str">
        <f t="shared" si="29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30"/>
        <v>789</v>
      </c>
      <c r="B790" s="6" t="str">
        <f t="shared" si="29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30"/>
        <v>790</v>
      </c>
      <c r="B791" s="6" t="str">
        <f t="shared" si="29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30"/>
        <v>791</v>
      </c>
      <c r="B792" s="6" t="str">
        <f t="shared" si="29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30"/>
        <v>792</v>
      </c>
      <c r="B793" s="6" t="str">
        <f t="shared" si="29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30"/>
        <v>793</v>
      </c>
      <c r="B794" s="6" t="str">
        <f t="shared" si="29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30"/>
        <v>794</v>
      </c>
      <c r="B795" s="6" t="str">
        <f t="shared" si="29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30"/>
        <v>795</v>
      </c>
      <c r="B796" s="6" t="str">
        <f t="shared" si="29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30"/>
        <v>796</v>
      </c>
      <c r="B797" s="6" t="str">
        <f t="shared" si="29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30"/>
        <v>797</v>
      </c>
      <c r="B798" s="6" t="str">
        <f t="shared" si="29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30"/>
        <v>798</v>
      </c>
      <c r="B799" s="6" t="str">
        <f t="shared" si="29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30"/>
        <v>799</v>
      </c>
      <c r="B800" s="6" t="str">
        <f t="shared" si="29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30"/>
        <v>800</v>
      </c>
      <c r="B801" s="6" t="str">
        <f t="shared" si="29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30"/>
        <v>801</v>
      </c>
      <c r="B802" s="6" t="str">
        <f t="shared" si="29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30"/>
        <v>802</v>
      </c>
      <c r="B803" s="6" t="str">
        <f t="shared" si="29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30"/>
        <v>803</v>
      </c>
      <c r="B804" s="6" t="str">
        <f t="shared" si="29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30"/>
        <v>804</v>
      </c>
      <c r="B805" s="6" t="str">
        <f t="shared" si="29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30"/>
        <v>805</v>
      </c>
      <c r="B806" s="6" t="str">
        <f t="shared" si="29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30"/>
        <v>806</v>
      </c>
      <c r="B807" s="6" t="str">
        <f t="shared" si="29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30"/>
        <v>807</v>
      </c>
      <c r="B808" s="6" t="str">
        <f t="shared" si="29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30"/>
        <v>808</v>
      </c>
      <c r="B809" s="6" t="str">
        <f t="shared" si="29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30"/>
        <v>809</v>
      </c>
      <c r="B810" s="6" t="str">
        <f t="shared" si="29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30"/>
        <v>810</v>
      </c>
      <c r="B811" s="6" t="str">
        <f t="shared" si="29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30"/>
        <v>811</v>
      </c>
      <c r="B812" s="6" t="str">
        <f t="shared" si="29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30"/>
        <v>812</v>
      </c>
      <c r="B813" s="6" t="str">
        <f t="shared" si="29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30"/>
        <v>813</v>
      </c>
      <c r="B814" s="6" t="str">
        <f t="shared" si="29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30"/>
        <v>814</v>
      </c>
      <c r="B815" s="6" t="str">
        <f t="shared" si="29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30"/>
        <v>815</v>
      </c>
      <c r="B816" s="6" t="str">
        <f t="shared" si="29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30"/>
        <v>816</v>
      </c>
      <c r="B817" s="6" t="str">
        <f t="shared" si="29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30"/>
        <v>817</v>
      </c>
      <c r="B818" s="6" t="str">
        <f t="shared" si="29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30"/>
        <v>818</v>
      </c>
      <c r="B819" s="6" t="str">
        <f t="shared" si="29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30"/>
        <v>819</v>
      </c>
      <c r="B820" s="6" t="str">
        <f t="shared" si="29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30"/>
        <v>820</v>
      </c>
      <c r="B821" s="6" t="str">
        <f t="shared" si="29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30"/>
        <v>821</v>
      </c>
      <c r="B822" s="6" t="str">
        <f t="shared" si="29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30"/>
        <v>822</v>
      </c>
      <c r="B823" s="6" t="str">
        <f t="shared" si="29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30"/>
        <v>823</v>
      </c>
      <c r="B824" s="6" t="str">
        <f t="shared" si="29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30"/>
        <v>824</v>
      </c>
      <c r="B825" s="6" t="str">
        <f t="shared" si="29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30"/>
        <v>825</v>
      </c>
      <c r="B826" s="6" t="str">
        <f t="shared" si="29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30"/>
        <v>826</v>
      </c>
      <c r="B827" s="6" t="str">
        <f t="shared" si="29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30"/>
        <v>827</v>
      </c>
      <c r="B828" s="6" t="str">
        <f t="shared" si="29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30"/>
        <v>828</v>
      </c>
      <c r="B829" s="6" t="str">
        <f t="shared" si="29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30"/>
        <v>829</v>
      </c>
      <c r="B830" s="6" t="str">
        <f t="shared" si="29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30"/>
        <v>830</v>
      </c>
      <c r="B831" s="6" t="str">
        <f t="shared" si="29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30"/>
        <v>831</v>
      </c>
      <c r="B832" s="6" t="str">
        <f t="shared" si="29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30"/>
        <v>832</v>
      </c>
      <c r="B833" s="6" t="str">
        <f t="shared" si="29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30"/>
        <v>833</v>
      </c>
      <c r="B834" s="6" t="str">
        <f t="shared" si="29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30"/>
        <v>834</v>
      </c>
      <c r="B835" s="6" t="str">
        <f t="shared" ref="B835:B898" si="31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32">A835+1</f>
        <v>835</v>
      </c>
      <c r="B836" s="6" t="str">
        <f t="shared" si="31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32"/>
        <v>836</v>
      </c>
      <c r="B837" s="6" t="str">
        <f t="shared" si="31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32"/>
        <v>837</v>
      </c>
      <c r="B838" s="6" t="str">
        <f t="shared" si="31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32"/>
        <v>838</v>
      </c>
      <c r="B839" s="6" t="str">
        <f t="shared" si="31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32"/>
        <v>839</v>
      </c>
      <c r="B840" s="6" t="str">
        <f t="shared" si="31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32"/>
        <v>840</v>
      </c>
      <c r="B841" s="6" t="str">
        <f t="shared" si="31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32"/>
        <v>841</v>
      </c>
      <c r="B842" s="6" t="str">
        <f t="shared" si="31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32"/>
        <v>842</v>
      </c>
      <c r="B843" s="6" t="str">
        <f t="shared" si="31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32"/>
        <v>843</v>
      </c>
      <c r="B844" s="6" t="str">
        <f t="shared" si="31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32"/>
        <v>844</v>
      </c>
      <c r="B845" s="6" t="str">
        <f t="shared" si="31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32"/>
        <v>845</v>
      </c>
      <c r="B846" s="6" t="str">
        <f t="shared" si="31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32"/>
        <v>846</v>
      </c>
      <c r="B847" s="6" t="str">
        <f t="shared" si="31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32"/>
        <v>847</v>
      </c>
      <c r="B848" s="6" t="str">
        <f t="shared" si="31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32"/>
        <v>848</v>
      </c>
      <c r="B849" s="6" t="str">
        <f t="shared" si="31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32"/>
        <v>849</v>
      </c>
      <c r="B850" s="6" t="str">
        <f t="shared" si="31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32"/>
        <v>850</v>
      </c>
      <c r="B851" s="6" t="str">
        <f t="shared" si="31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32"/>
        <v>851</v>
      </c>
      <c r="B852" s="6" t="str">
        <f t="shared" si="31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32"/>
        <v>852</v>
      </c>
      <c r="B853" s="6" t="str">
        <f t="shared" si="31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32"/>
        <v>853</v>
      </c>
      <c r="B854" s="6" t="str">
        <f t="shared" si="31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32"/>
        <v>854</v>
      </c>
      <c r="B855" s="6" t="str">
        <f t="shared" si="31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32"/>
        <v>855</v>
      </c>
      <c r="B856" s="6" t="str">
        <f t="shared" si="31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32"/>
        <v>856</v>
      </c>
      <c r="B857" s="6" t="str">
        <f t="shared" si="31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32"/>
        <v>857</v>
      </c>
      <c r="B858" s="6" t="str">
        <f t="shared" si="31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32"/>
        <v>858</v>
      </c>
      <c r="B859" s="6" t="str">
        <f t="shared" si="31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32"/>
        <v>859</v>
      </c>
      <c r="B860" s="6" t="str">
        <f t="shared" si="31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32"/>
        <v>860</v>
      </c>
      <c r="B861" s="6" t="str">
        <f t="shared" si="31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32"/>
        <v>861</v>
      </c>
      <c r="B862" s="6" t="str">
        <f t="shared" si="31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32"/>
        <v>862</v>
      </c>
      <c r="B863" s="6" t="str">
        <f t="shared" si="31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32"/>
        <v>863</v>
      </c>
      <c r="B864" s="6" t="str">
        <f t="shared" si="31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32"/>
        <v>864</v>
      </c>
      <c r="B865" s="6" t="str">
        <f t="shared" si="31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32"/>
        <v>865</v>
      </c>
      <c r="B866" s="6" t="str">
        <f t="shared" si="31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32"/>
        <v>866</v>
      </c>
      <c r="B867" s="6" t="str">
        <f t="shared" si="31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32"/>
        <v>867</v>
      </c>
      <c r="B868" s="6" t="str">
        <f t="shared" si="31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32"/>
        <v>868</v>
      </c>
      <c r="B869" s="6" t="str">
        <f t="shared" si="31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32"/>
        <v>869</v>
      </c>
      <c r="B870" s="6" t="str">
        <f t="shared" si="31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32"/>
        <v>870</v>
      </c>
      <c r="B871" s="6" t="str">
        <f t="shared" si="31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32"/>
        <v>871</v>
      </c>
      <c r="B872" s="6" t="str">
        <f t="shared" si="31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32"/>
        <v>872</v>
      </c>
      <c r="B873" s="6" t="str">
        <f t="shared" si="31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32"/>
        <v>873</v>
      </c>
      <c r="B874" s="6" t="str">
        <f t="shared" si="31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32"/>
        <v>874</v>
      </c>
      <c r="B875" s="6" t="str">
        <f t="shared" si="31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32"/>
        <v>875</v>
      </c>
      <c r="B876" s="6" t="str">
        <f t="shared" si="31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32"/>
        <v>876</v>
      </c>
      <c r="B877" s="6" t="str">
        <f t="shared" si="31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32"/>
        <v>877</v>
      </c>
      <c r="B878" s="6" t="str">
        <f t="shared" si="31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32"/>
        <v>878</v>
      </c>
      <c r="B879" s="6" t="str">
        <f t="shared" si="31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32"/>
        <v>879</v>
      </c>
      <c r="B880" s="6" t="str">
        <f t="shared" si="31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32"/>
        <v>880</v>
      </c>
      <c r="B881" s="6" t="str">
        <f t="shared" si="31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32"/>
        <v>881</v>
      </c>
      <c r="B882" s="6" t="str">
        <f t="shared" si="31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32"/>
        <v>882</v>
      </c>
      <c r="B883" s="6" t="str">
        <f t="shared" si="31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32"/>
        <v>883</v>
      </c>
      <c r="B884" s="6" t="str">
        <f t="shared" si="31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32"/>
        <v>884</v>
      </c>
      <c r="B885" s="6" t="str">
        <f t="shared" si="31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32"/>
        <v>885</v>
      </c>
      <c r="B886" s="6" t="str">
        <f t="shared" si="31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32"/>
        <v>886</v>
      </c>
      <c r="B887" s="6" t="str">
        <f t="shared" si="31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32"/>
        <v>887</v>
      </c>
      <c r="B888" s="6" t="str">
        <f t="shared" si="31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32"/>
        <v>888</v>
      </c>
      <c r="B889" s="6" t="str">
        <f t="shared" si="31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32"/>
        <v>889</v>
      </c>
      <c r="B890" s="6" t="str">
        <f t="shared" si="31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32"/>
        <v>890</v>
      </c>
      <c r="B891" s="6" t="str">
        <f t="shared" si="31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32"/>
        <v>891</v>
      </c>
      <c r="B892" s="6" t="str">
        <f t="shared" si="31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32"/>
        <v>892</v>
      </c>
      <c r="B893" s="6" t="str">
        <f t="shared" si="31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32"/>
        <v>893</v>
      </c>
      <c r="B894" s="6" t="str">
        <f t="shared" si="31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32"/>
        <v>894</v>
      </c>
      <c r="B895" s="6" t="str">
        <f t="shared" si="31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32"/>
        <v>895</v>
      </c>
      <c r="B896" s="6" t="str">
        <f t="shared" si="31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32"/>
        <v>896</v>
      </c>
      <c r="B897" s="6" t="str">
        <f t="shared" si="31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32"/>
        <v>897</v>
      </c>
      <c r="B898" s="6" t="str">
        <f t="shared" si="31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32"/>
        <v>898</v>
      </c>
      <c r="B899" s="6" t="str">
        <f t="shared" ref="B899:B962" si="33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34">A899+1</f>
        <v>899</v>
      </c>
      <c r="B900" s="6" t="str">
        <f t="shared" si="33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34"/>
        <v>900</v>
      </c>
      <c r="B901" s="6" t="str">
        <f t="shared" si="33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34"/>
        <v>901</v>
      </c>
      <c r="B902" s="6" t="str">
        <f t="shared" si="33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34"/>
        <v>902</v>
      </c>
      <c r="B903" s="6" t="str">
        <f t="shared" si="33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34"/>
        <v>903</v>
      </c>
      <c r="B904" s="6" t="str">
        <f t="shared" si="33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34"/>
        <v>904</v>
      </c>
      <c r="B905" s="6" t="str">
        <f t="shared" si="33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34"/>
        <v>905</v>
      </c>
      <c r="B906" s="6" t="str">
        <f t="shared" si="33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34"/>
        <v>906</v>
      </c>
      <c r="B907" s="6" t="str">
        <f t="shared" si="33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34"/>
        <v>907</v>
      </c>
      <c r="B908" s="6" t="str">
        <f t="shared" si="33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34"/>
        <v>908</v>
      </c>
      <c r="B909" s="6" t="str">
        <f t="shared" si="33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34"/>
        <v>909</v>
      </c>
      <c r="B910" s="6" t="str">
        <f t="shared" si="33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34"/>
        <v>910</v>
      </c>
      <c r="B911" s="6" t="str">
        <f t="shared" si="33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34"/>
        <v>911</v>
      </c>
      <c r="B912" s="6" t="str">
        <f t="shared" si="33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34"/>
        <v>912</v>
      </c>
      <c r="B913" s="6" t="str">
        <f t="shared" si="33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34"/>
        <v>913</v>
      </c>
      <c r="B914" s="6" t="str">
        <f t="shared" si="33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34"/>
        <v>914</v>
      </c>
      <c r="B915" s="6" t="str">
        <f t="shared" si="33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34"/>
        <v>915</v>
      </c>
      <c r="B916" s="6" t="str">
        <f t="shared" si="33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34"/>
        <v>916</v>
      </c>
      <c r="B917" s="6" t="str">
        <f t="shared" si="33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34"/>
        <v>917</v>
      </c>
      <c r="B918" s="6" t="str">
        <f t="shared" si="33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34"/>
        <v>918</v>
      </c>
      <c r="B919" s="6" t="str">
        <f t="shared" si="33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34"/>
        <v>919</v>
      </c>
      <c r="B920" s="6" t="str">
        <f t="shared" si="33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34"/>
        <v>920</v>
      </c>
      <c r="B921" s="6" t="str">
        <f t="shared" si="33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34"/>
        <v>921</v>
      </c>
      <c r="B922" s="6" t="str">
        <f t="shared" si="33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34"/>
        <v>922</v>
      </c>
      <c r="B923" s="6" t="str">
        <f t="shared" si="33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34"/>
        <v>923</v>
      </c>
      <c r="B924" s="6" t="str">
        <f t="shared" si="33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34"/>
        <v>924</v>
      </c>
      <c r="B925" s="6" t="str">
        <f t="shared" si="33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34"/>
        <v>925</v>
      </c>
      <c r="B926" s="6" t="str">
        <f t="shared" si="33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34"/>
        <v>926</v>
      </c>
      <c r="B927" s="6" t="str">
        <f t="shared" si="33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34"/>
        <v>927</v>
      </c>
      <c r="B928" s="6" t="str">
        <f t="shared" si="33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34"/>
        <v>928</v>
      </c>
      <c r="B929" s="6" t="str">
        <f t="shared" si="33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34"/>
        <v>929</v>
      </c>
      <c r="B930" s="6" t="str">
        <f t="shared" si="33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34"/>
        <v>930</v>
      </c>
      <c r="B931" s="6" t="str">
        <f t="shared" si="33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34"/>
        <v>931</v>
      </c>
      <c r="B932" s="6" t="str">
        <f t="shared" si="33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34"/>
        <v>932</v>
      </c>
      <c r="B933" s="6" t="str">
        <f t="shared" si="33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34"/>
        <v>933</v>
      </c>
      <c r="B934" s="6" t="str">
        <f t="shared" si="33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34"/>
        <v>934</v>
      </c>
      <c r="B935" s="6" t="str">
        <f t="shared" si="33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34"/>
        <v>935</v>
      </c>
      <c r="B936" s="6" t="str">
        <f t="shared" si="33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34"/>
        <v>936</v>
      </c>
      <c r="B937" s="6" t="str">
        <f t="shared" si="33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34"/>
        <v>937</v>
      </c>
      <c r="B938" s="6" t="str">
        <f t="shared" si="33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34"/>
        <v>938</v>
      </c>
      <c r="B939" s="6" t="str">
        <f t="shared" si="33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34"/>
        <v>939</v>
      </c>
      <c r="B940" s="6" t="str">
        <f t="shared" si="33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34"/>
        <v>940</v>
      </c>
      <c r="B941" s="6" t="str">
        <f t="shared" si="33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34"/>
        <v>941</v>
      </c>
      <c r="B942" s="6" t="str">
        <f t="shared" si="33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34"/>
        <v>942</v>
      </c>
      <c r="B943" s="6" t="str">
        <f t="shared" si="33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34"/>
        <v>943</v>
      </c>
      <c r="B944" s="6" t="str">
        <f t="shared" si="33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34"/>
        <v>944</v>
      </c>
      <c r="B945" s="6" t="str">
        <f t="shared" si="33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34"/>
        <v>945</v>
      </c>
      <c r="B946" s="6" t="str">
        <f t="shared" si="33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34"/>
        <v>946</v>
      </c>
      <c r="B947" s="6" t="str">
        <f t="shared" si="33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34"/>
        <v>947</v>
      </c>
      <c r="B948" s="6" t="str">
        <f t="shared" si="33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34"/>
        <v>948</v>
      </c>
      <c r="B949" s="6" t="str">
        <f t="shared" si="33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34"/>
        <v>949</v>
      </c>
      <c r="B950" s="6" t="str">
        <f t="shared" si="33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34"/>
        <v>950</v>
      </c>
      <c r="B951" s="6" t="str">
        <f t="shared" si="33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34"/>
        <v>951</v>
      </c>
      <c r="B952" s="6" t="str">
        <f t="shared" si="33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34"/>
        <v>952</v>
      </c>
      <c r="B953" s="6" t="str">
        <f t="shared" si="33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34"/>
        <v>953</v>
      </c>
      <c r="B954" s="6" t="str">
        <f t="shared" si="33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34"/>
        <v>954</v>
      </c>
      <c r="B955" s="6" t="str">
        <f t="shared" si="33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34"/>
        <v>955</v>
      </c>
      <c r="B956" s="6" t="str">
        <f t="shared" si="33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34"/>
        <v>956</v>
      </c>
      <c r="B957" s="6" t="str">
        <f t="shared" si="33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34"/>
        <v>957</v>
      </c>
      <c r="B958" s="6" t="str">
        <f t="shared" si="33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34"/>
        <v>958</v>
      </c>
      <c r="B959" s="6" t="str">
        <f t="shared" si="33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34"/>
        <v>959</v>
      </c>
      <c r="B960" s="6" t="str">
        <f t="shared" si="33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34"/>
        <v>960</v>
      </c>
      <c r="B961" s="6" t="str">
        <f t="shared" si="33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34"/>
        <v>961</v>
      </c>
      <c r="B962" s="6" t="str">
        <f t="shared" si="33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34"/>
        <v>962</v>
      </c>
      <c r="B963" s="6" t="str">
        <f t="shared" ref="B963:B1001" si="35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6">A963+1</f>
        <v>963</v>
      </c>
      <c r="B964" s="6" t="str">
        <f t="shared" si="35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6"/>
        <v>964</v>
      </c>
      <c r="B965" s="6" t="str">
        <f t="shared" si="35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6"/>
        <v>965</v>
      </c>
      <c r="B966" s="6" t="str">
        <f t="shared" si="35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6"/>
        <v>966</v>
      </c>
      <c r="B967" s="6" t="str">
        <f t="shared" si="35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6"/>
        <v>967</v>
      </c>
      <c r="B968" s="6" t="str">
        <f t="shared" si="35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6"/>
        <v>968</v>
      </c>
      <c r="B969" s="6" t="str">
        <f t="shared" si="35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6"/>
        <v>969</v>
      </c>
      <c r="B970" s="6" t="str">
        <f t="shared" si="35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6"/>
        <v>970</v>
      </c>
      <c r="B971" s="6" t="str">
        <f t="shared" si="35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6"/>
        <v>971</v>
      </c>
      <c r="B972" s="6" t="str">
        <f t="shared" si="35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6"/>
        <v>972</v>
      </c>
      <c r="B973" s="6" t="str">
        <f t="shared" si="35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6"/>
        <v>973</v>
      </c>
      <c r="B974" s="6" t="str">
        <f t="shared" si="35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6"/>
        <v>974</v>
      </c>
      <c r="B975" s="6" t="str">
        <f t="shared" si="35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6"/>
        <v>975</v>
      </c>
      <c r="B976" s="6" t="str">
        <f t="shared" si="35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6"/>
        <v>976</v>
      </c>
      <c r="B977" s="6" t="str">
        <f t="shared" si="35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6"/>
        <v>977</v>
      </c>
      <c r="B978" s="6" t="str">
        <f t="shared" si="35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6"/>
        <v>978</v>
      </c>
      <c r="B979" s="6" t="str">
        <f t="shared" si="35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6"/>
        <v>979</v>
      </c>
      <c r="B980" s="6" t="str">
        <f t="shared" si="35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6"/>
        <v>980</v>
      </c>
      <c r="B981" s="6" t="str">
        <f t="shared" si="35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6"/>
        <v>981</v>
      </c>
      <c r="B982" s="6" t="str">
        <f t="shared" si="35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6"/>
        <v>982</v>
      </c>
      <c r="B983" s="6" t="str">
        <f t="shared" si="35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6"/>
        <v>983</v>
      </c>
      <c r="B984" s="6" t="str">
        <f t="shared" si="35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6"/>
        <v>984</v>
      </c>
      <c r="B985" s="6" t="str">
        <f t="shared" si="35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6"/>
        <v>985</v>
      </c>
      <c r="B986" s="6" t="str">
        <f t="shared" si="35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6"/>
        <v>986</v>
      </c>
      <c r="B987" s="6" t="str">
        <f t="shared" si="35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6"/>
        <v>987</v>
      </c>
      <c r="B988" s="6" t="str">
        <f t="shared" si="35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6"/>
        <v>988</v>
      </c>
      <c r="B989" s="6" t="str">
        <f t="shared" si="35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6"/>
        <v>989</v>
      </c>
      <c r="B990" s="6" t="str">
        <f t="shared" si="35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6"/>
        <v>990</v>
      </c>
      <c r="B991" s="6" t="str">
        <f t="shared" si="35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6"/>
        <v>991</v>
      </c>
      <c r="B992" s="6" t="str">
        <f t="shared" si="35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6"/>
        <v>992</v>
      </c>
      <c r="B993" s="6" t="str">
        <f t="shared" si="35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6"/>
        <v>993</v>
      </c>
      <c r="B994" s="6" t="str">
        <f t="shared" si="35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6"/>
        <v>994</v>
      </c>
      <c r="B995" s="6" t="str">
        <f t="shared" si="35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6"/>
        <v>995</v>
      </c>
      <c r="B996" s="6" t="str">
        <f t="shared" si="35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6"/>
        <v>996</v>
      </c>
      <c r="B997" s="6" t="str">
        <f t="shared" si="35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6"/>
        <v>997</v>
      </c>
      <c r="B998" s="6" t="str">
        <f t="shared" si="35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6"/>
        <v>998</v>
      </c>
      <c r="B999" s="6" t="str">
        <f t="shared" si="35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6"/>
        <v>999</v>
      </c>
      <c r="B1000" s="6" t="str">
        <f t="shared" si="35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6"/>
        <v>1000</v>
      </c>
      <c r="B1001" s="12" t="str">
        <f t="shared" si="35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conditionalFormatting sqref="O3:O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{82BC8897-9B15-440C-8A86-6C318454A68A}</x14:id>
        </ext>
      </extLst>
    </cfRule>
  </conditionalFormatting>
  <conditionalFormatting sqref="O8:O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{06CCCC02-3C86-416D-8DB8-92E5C08A1269}</x14:id>
        </ext>
      </extLst>
    </cfRule>
  </conditionalFormatting>
  <hyperlinks>
    <hyperlink ref="H10" location="'🗂️ TOC'!A1" display="Return Back" xr:uid="{E487A682-F318-4053-9914-67164743A5DE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BC8897-9B15-440C-8A86-6C318454A6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O3:O7</xm:sqref>
        </x14:conditionalFormatting>
        <x14:conditionalFormatting xmlns:xm="http://schemas.microsoft.com/office/excel/2006/main">
          <x14:cfRule type="dataBar" id="{06CCCC02-3C86-416D-8DB8-92E5C08A1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O8:O12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1A22B-61E1-4B76-982E-B767205DDF00}">
  <sheetPr codeName="Sheet5"/>
  <dimension ref="A1:AA1001"/>
  <sheetViews>
    <sheetView showGridLines="0" workbookViewId="0">
      <selection activeCell="H7" sqref="H7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8.6640625" style="1"/>
    <col min="10" max="10" width="16.83203125" style="1" customWidth="1"/>
    <col min="11" max="12" width="8.6640625" style="1"/>
    <col min="13" max="13" width="19.25" style="1" customWidth="1"/>
    <col min="14" max="14" width="10.75" style="1" customWidth="1"/>
    <col min="15" max="24" width="8.6640625" style="1"/>
    <col min="25" max="25" width="6.4140625" style="1" customWidth="1"/>
    <col min="26" max="16384" width="8.6640625" style="1"/>
  </cols>
  <sheetData>
    <row r="1" spans="1:27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J1" s="4" t="s">
        <v>18</v>
      </c>
      <c r="K1" s="5"/>
      <c r="M1" s="4" t="s">
        <v>21</v>
      </c>
      <c r="N1" s="5"/>
      <c r="Q1" s="1" t="s">
        <v>23</v>
      </c>
      <c r="Y1" s="30" t="s">
        <v>22</v>
      </c>
      <c r="Z1" s="31"/>
      <c r="AA1" s="28"/>
    </row>
    <row r="2" spans="1:27" ht="22" thickBot="1" x14ac:dyDescent="0.6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J2" s="9" t="s">
        <v>19</v>
      </c>
      <c r="K2" s="10"/>
      <c r="M2" s="9" t="s">
        <v>19</v>
      </c>
      <c r="N2" s="10"/>
      <c r="R2" s="27" t="s">
        <v>25</v>
      </c>
      <c r="S2" s="2"/>
      <c r="T2" s="2"/>
      <c r="U2" s="2"/>
      <c r="V2" s="2"/>
      <c r="Y2" s="9" t="s">
        <v>24</v>
      </c>
      <c r="Z2" s="10"/>
    </row>
    <row r="3" spans="1:27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J3" s="6" t="s">
        <v>20</v>
      </c>
      <c r="K3" s="11"/>
      <c r="M3" s="6" t="s">
        <v>20</v>
      </c>
      <c r="N3" s="11"/>
      <c r="Q3" s="26"/>
      <c r="R3" s="22">
        <v>1</v>
      </c>
      <c r="S3" s="23">
        <v>2</v>
      </c>
      <c r="T3" s="23">
        <v>3</v>
      </c>
      <c r="U3" s="23">
        <v>4</v>
      </c>
      <c r="V3" s="24">
        <v>5</v>
      </c>
      <c r="Y3" s="6" t="s">
        <v>25</v>
      </c>
      <c r="Z3" s="32"/>
    </row>
    <row r="4" spans="1:27" ht="16.5" thickBot="1" x14ac:dyDescent="0.45">
      <c r="A4" s="6">
        <f t="shared" ref="A4:A67" si="1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J4" s="12" t="s">
        <v>9</v>
      </c>
      <c r="K4" s="13"/>
      <c r="M4" s="12" t="s">
        <v>9</v>
      </c>
      <c r="N4" s="13"/>
      <c r="P4" s="101" t="s">
        <v>24</v>
      </c>
      <c r="Q4" s="6">
        <v>25</v>
      </c>
      <c r="R4" s="17">
        <v>4.4825548991601183E-2</v>
      </c>
      <c r="S4" s="17">
        <v>0.90487234637977998</v>
      </c>
      <c r="T4" s="17">
        <v>0.79493151415910035</v>
      </c>
      <c r="U4" s="17">
        <v>0.53099350537636258</v>
      </c>
      <c r="V4" s="18">
        <v>0.17965714270459998</v>
      </c>
      <c r="Y4" s="12" t="s">
        <v>26</v>
      </c>
      <c r="Z4" s="13"/>
    </row>
    <row r="5" spans="1:27" x14ac:dyDescent="0.4">
      <c r="A5" s="6">
        <f t="shared" si="1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P5" s="101"/>
      <c r="Q5" s="6">
        <v>26</v>
      </c>
      <c r="R5" s="1">
        <v>0.94630756030091867</v>
      </c>
      <c r="S5" s="1">
        <v>0.1850219868077988</v>
      </c>
      <c r="T5" s="1">
        <v>0.27092351733722664</v>
      </c>
      <c r="U5" s="1">
        <v>0.46667989849008629</v>
      </c>
      <c r="V5" s="11">
        <v>0.53718708800964354</v>
      </c>
    </row>
    <row r="6" spans="1:27" ht="16.5" thickBot="1" x14ac:dyDescent="0.45">
      <c r="A6" s="6">
        <f t="shared" si="1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P6" s="101"/>
      <c r="Q6" s="6">
        <v>27</v>
      </c>
      <c r="R6" s="1">
        <v>0.31231900574596072</v>
      </c>
      <c r="S6" s="1">
        <v>0.63186936778420055</v>
      </c>
      <c r="T6" s="1">
        <v>0.26079337011789816</v>
      </c>
      <c r="U6" s="1">
        <v>0.24292457754245356</v>
      </c>
      <c r="V6" s="11">
        <v>0.86150759135883037</v>
      </c>
    </row>
    <row r="7" spans="1:27" ht="16.5" thickBot="1" x14ac:dyDescent="0.45">
      <c r="A7" s="6">
        <f t="shared" si="1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H7" s="100" t="s">
        <v>74</v>
      </c>
      <c r="P7" s="101"/>
      <c r="Q7" s="6">
        <v>28</v>
      </c>
      <c r="R7" s="1">
        <v>0.11271231946355798</v>
      </c>
      <c r="S7" s="1">
        <v>0.72283677625155318</v>
      </c>
      <c r="T7" s="1">
        <v>0.21813691819144643</v>
      </c>
      <c r="U7" s="1">
        <v>0.71262430822845557</v>
      </c>
      <c r="V7" s="11">
        <v>0.18506552495883133</v>
      </c>
    </row>
    <row r="8" spans="1:27" x14ac:dyDescent="0.4">
      <c r="A8" s="6">
        <f t="shared" si="1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P8" s="101"/>
      <c r="Q8" s="6">
        <v>29</v>
      </c>
      <c r="R8" s="1">
        <v>0.54852693435957578</v>
      </c>
      <c r="S8" s="1">
        <v>0.20640759525080754</v>
      </c>
      <c r="T8" s="1">
        <v>0.13334137065075657</v>
      </c>
      <c r="U8" s="1">
        <v>0.5640597489368121</v>
      </c>
      <c r="V8" s="11">
        <v>0.67979195833884687</v>
      </c>
    </row>
    <row r="9" spans="1:27" ht="16.5" thickBot="1" x14ac:dyDescent="0.45">
      <c r="A9" s="6">
        <f t="shared" si="1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P9" s="101"/>
      <c r="Q9" s="12">
        <v>30</v>
      </c>
      <c r="R9" s="21">
        <v>0.2462508317069857</v>
      </c>
      <c r="S9" s="21">
        <v>0.1347859907134088</v>
      </c>
      <c r="T9" s="21">
        <v>0.4529018803319701</v>
      </c>
      <c r="U9" s="21">
        <v>0.20949711836845097</v>
      </c>
      <c r="V9" s="13">
        <v>0.3079712370095824</v>
      </c>
    </row>
    <row r="10" spans="1:27" x14ac:dyDescent="0.4">
      <c r="A10" s="6">
        <f t="shared" si="1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</row>
    <row r="11" spans="1:27" x14ac:dyDescent="0.4">
      <c r="A11" s="6">
        <f t="shared" si="1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</row>
    <row r="12" spans="1:27" x14ac:dyDescent="0.4">
      <c r="A12" s="6">
        <f t="shared" si="1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</row>
    <row r="13" spans="1:27" x14ac:dyDescent="0.4">
      <c r="A13" s="6">
        <f t="shared" si="1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7" x14ac:dyDescent="0.4">
      <c r="A14" s="6">
        <f t="shared" si="1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7" x14ac:dyDescent="0.4">
      <c r="A15" s="6">
        <f t="shared" si="1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7" x14ac:dyDescent="0.4">
      <c r="A16" s="6">
        <f t="shared" si="1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1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1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1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1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1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1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1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1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1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1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1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1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1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1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1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1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1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1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1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1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1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1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1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1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1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1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1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1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1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1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1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1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1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1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1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1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1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1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1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1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1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1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1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1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1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1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1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1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1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1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1"/>
        <v>66</v>
      </c>
      <c r="B67" s="6" t="str">
        <f t="shared" ref="B67:B130" si="2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3">A67+1</f>
        <v>67</v>
      </c>
      <c r="B68" s="6" t="str">
        <f t="shared" si="2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3"/>
        <v>68</v>
      </c>
      <c r="B69" s="6" t="str">
        <f t="shared" si="2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3"/>
        <v>69</v>
      </c>
      <c r="B70" s="6" t="str">
        <f t="shared" si="2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3"/>
        <v>70</v>
      </c>
      <c r="B71" s="6" t="str">
        <f t="shared" si="2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3"/>
        <v>71</v>
      </c>
      <c r="B72" s="6" t="str">
        <f t="shared" si="2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3"/>
        <v>72</v>
      </c>
      <c r="B73" s="6" t="str">
        <f t="shared" si="2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3"/>
        <v>73</v>
      </c>
      <c r="B74" s="6" t="str">
        <f t="shared" si="2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3"/>
        <v>74</v>
      </c>
      <c r="B75" s="6" t="str">
        <f t="shared" si="2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3"/>
        <v>75</v>
      </c>
      <c r="B76" s="6" t="str">
        <f t="shared" si="2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3"/>
        <v>76</v>
      </c>
      <c r="B77" s="6" t="str">
        <f t="shared" si="2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3"/>
        <v>77</v>
      </c>
      <c r="B78" s="6" t="str">
        <f t="shared" si="2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3"/>
        <v>78</v>
      </c>
      <c r="B79" s="6" t="str">
        <f t="shared" si="2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3"/>
        <v>79</v>
      </c>
      <c r="B80" s="6" t="str">
        <f t="shared" si="2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3"/>
        <v>80</v>
      </c>
      <c r="B81" s="6" t="str">
        <f t="shared" si="2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3"/>
        <v>81</v>
      </c>
      <c r="B82" s="6" t="str">
        <f t="shared" si="2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3"/>
        <v>82</v>
      </c>
      <c r="B83" s="6" t="str">
        <f t="shared" si="2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3"/>
        <v>83</v>
      </c>
      <c r="B84" s="6" t="str">
        <f t="shared" si="2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3"/>
        <v>84</v>
      </c>
      <c r="B85" s="6" t="str">
        <f t="shared" si="2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3"/>
        <v>85</v>
      </c>
      <c r="B86" s="6" t="str">
        <f t="shared" si="2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3"/>
        <v>86</v>
      </c>
      <c r="B87" s="6" t="str">
        <f t="shared" si="2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3"/>
        <v>87</v>
      </c>
      <c r="B88" s="6" t="str">
        <f t="shared" si="2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3"/>
        <v>88</v>
      </c>
      <c r="B89" s="6" t="str">
        <f t="shared" si="2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3"/>
        <v>89</v>
      </c>
      <c r="B90" s="6" t="str">
        <f t="shared" si="2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3"/>
        <v>90</v>
      </c>
      <c r="B91" s="6" t="str">
        <f t="shared" si="2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3"/>
        <v>91</v>
      </c>
      <c r="B92" s="6" t="str">
        <f t="shared" si="2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3"/>
        <v>92</v>
      </c>
      <c r="B93" s="6" t="str">
        <f t="shared" si="2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3"/>
        <v>93</v>
      </c>
      <c r="B94" s="6" t="str">
        <f t="shared" si="2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3"/>
        <v>94</v>
      </c>
      <c r="B95" s="6" t="str">
        <f t="shared" si="2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3"/>
        <v>95</v>
      </c>
      <c r="B96" s="6" t="str">
        <f t="shared" si="2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3"/>
        <v>96</v>
      </c>
      <c r="B97" s="6" t="str">
        <f t="shared" si="2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3"/>
        <v>97</v>
      </c>
      <c r="B98" s="6" t="str">
        <f t="shared" si="2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3"/>
        <v>98</v>
      </c>
      <c r="B99" s="6" t="str">
        <f t="shared" si="2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3"/>
        <v>99</v>
      </c>
      <c r="B100" s="6" t="str">
        <f t="shared" si="2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3"/>
        <v>100</v>
      </c>
      <c r="B101" s="6" t="str">
        <f t="shared" si="2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3"/>
        <v>101</v>
      </c>
      <c r="B102" s="6" t="str">
        <f t="shared" si="2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3"/>
        <v>102</v>
      </c>
      <c r="B103" s="6" t="str">
        <f t="shared" si="2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3"/>
        <v>103</v>
      </c>
      <c r="B104" s="6" t="str">
        <f t="shared" si="2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3"/>
        <v>104</v>
      </c>
      <c r="B105" s="6" t="str">
        <f t="shared" si="2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3"/>
        <v>105</v>
      </c>
      <c r="B106" s="6" t="str">
        <f t="shared" si="2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3"/>
        <v>106</v>
      </c>
      <c r="B107" s="6" t="str">
        <f t="shared" si="2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3"/>
        <v>107</v>
      </c>
      <c r="B108" s="6" t="str">
        <f t="shared" si="2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3"/>
        <v>108</v>
      </c>
      <c r="B109" s="6" t="str">
        <f t="shared" si="2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3"/>
        <v>109</v>
      </c>
      <c r="B110" s="6" t="str">
        <f t="shared" si="2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3"/>
        <v>110</v>
      </c>
      <c r="B111" s="6" t="str">
        <f t="shared" si="2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3"/>
        <v>111</v>
      </c>
      <c r="B112" s="6" t="str">
        <f t="shared" si="2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3"/>
        <v>112</v>
      </c>
      <c r="B113" s="6" t="str">
        <f t="shared" si="2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3"/>
        <v>113</v>
      </c>
      <c r="B114" s="6" t="str">
        <f t="shared" si="2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3"/>
        <v>114</v>
      </c>
      <c r="B115" s="6" t="str">
        <f t="shared" si="2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3"/>
        <v>115</v>
      </c>
      <c r="B116" s="6" t="str">
        <f t="shared" si="2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3"/>
        <v>116</v>
      </c>
      <c r="B117" s="6" t="str">
        <f t="shared" si="2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3"/>
        <v>117</v>
      </c>
      <c r="B118" s="6" t="str">
        <f t="shared" si="2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3"/>
        <v>118</v>
      </c>
      <c r="B119" s="6" t="str">
        <f t="shared" si="2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3"/>
        <v>119</v>
      </c>
      <c r="B120" s="6" t="str">
        <f t="shared" si="2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3"/>
        <v>120</v>
      </c>
      <c r="B121" s="6" t="str">
        <f t="shared" si="2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3"/>
        <v>121</v>
      </c>
      <c r="B122" s="6" t="str">
        <f t="shared" si="2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3"/>
        <v>122</v>
      </c>
      <c r="B123" s="6" t="str">
        <f t="shared" si="2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3"/>
        <v>123</v>
      </c>
      <c r="B124" s="6" t="str">
        <f t="shared" si="2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3"/>
        <v>124</v>
      </c>
      <c r="B125" s="6" t="str">
        <f t="shared" si="2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3"/>
        <v>125</v>
      </c>
      <c r="B126" s="6" t="str">
        <f t="shared" si="2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3"/>
        <v>126</v>
      </c>
      <c r="B127" s="6" t="str">
        <f t="shared" si="2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3"/>
        <v>127</v>
      </c>
      <c r="B128" s="6" t="str">
        <f t="shared" si="2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3"/>
        <v>128</v>
      </c>
      <c r="B129" s="6" t="str">
        <f t="shared" si="2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3"/>
        <v>129</v>
      </c>
      <c r="B130" s="6" t="str">
        <f t="shared" si="2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3"/>
        <v>130</v>
      </c>
      <c r="B131" s="6" t="str">
        <f t="shared" ref="B131:B194" si="4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5">A131+1</f>
        <v>131</v>
      </c>
      <c r="B132" s="6" t="str">
        <f t="shared" si="4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5"/>
        <v>132</v>
      </c>
      <c r="B133" s="6" t="str">
        <f t="shared" si="4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5"/>
        <v>133</v>
      </c>
      <c r="B134" s="6" t="str">
        <f t="shared" si="4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5"/>
        <v>134</v>
      </c>
      <c r="B135" s="6" t="str">
        <f t="shared" si="4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5"/>
        <v>135</v>
      </c>
      <c r="B136" s="6" t="str">
        <f t="shared" si="4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5"/>
        <v>136</v>
      </c>
      <c r="B137" s="6" t="str">
        <f t="shared" si="4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5"/>
        <v>137</v>
      </c>
      <c r="B138" s="6" t="str">
        <f t="shared" si="4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5"/>
        <v>138</v>
      </c>
      <c r="B139" s="6" t="str">
        <f t="shared" si="4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5"/>
        <v>139</v>
      </c>
      <c r="B140" s="6" t="str">
        <f t="shared" si="4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5"/>
        <v>140</v>
      </c>
      <c r="B141" s="6" t="str">
        <f t="shared" si="4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5"/>
        <v>141</v>
      </c>
      <c r="B142" s="6" t="str">
        <f t="shared" si="4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5"/>
        <v>142</v>
      </c>
      <c r="B143" s="6" t="str">
        <f t="shared" si="4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5"/>
        <v>143</v>
      </c>
      <c r="B144" s="6" t="str">
        <f t="shared" si="4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5"/>
        <v>144</v>
      </c>
      <c r="B145" s="6" t="str">
        <f t="shared" si="4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5"/>
        <v>145</v>
      </c>
      <c r="B146" s="6" t="str">
        <f t="shared" si="4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5"/>
        <v>146</v>
      </c>
      <c r="B147" s="6" t="str">
        <f t="shared" si="4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5"/>
        <v>147</v>
      </c>
      <c r="B148" s="6" t="str">
        <f t="shared" si="4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5"/>
        <v>148</v>
      </c>
      <c r="B149" s="6" t="str">
        <f t="shared" si="4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5"/>
        <v>149</v>
      </c>
      <c r="B150" s="6" t="str">
        <f t="shared" si="4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5"/>
        <v>150</v>
      </c>
      <c r="B151" s="6" t="str">
        <f t="shared" si="4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5"/>
        <v>151</v>
      </c>
      <c r="B152" s="6" t="str">
        <f t="shared" si="4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5"/>
        <v>152</v>
      </c>
      <c r="B153" s="6" t="str">
        <f t="shared" si="4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5"/>
        <v>153</v>
      </c>
      <c r="B154" s="6" t="str">
        <f t="shared" si="4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5"/>
        <v>154</v>
      </c>
      <c r="B155" s="6" t="str">
        <f t="shared" si="4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5"/>
        <v>155</v>
      </c>
      <c r="B156" s="6" t="str">
        <f t="shared" si="4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5"/>
        <v>156</v>
      </c>
      <c r="B157" s="6" t="str">
        <f t="shared" si="4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5"/>
        <v>157</v>
      </c>
      <c r="B158" s="6" t="str">
        <f t="shared" si="4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5"/>
        <v>158</v>
      </c>
      <c r="B159" s="6" t="str">
        <f t="shared" si="4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5"/>
        <v>159</v>
      </c>
      <c r="B160" s="6" t="str">
        <f t="shared" si="4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5"/>
        <v>160</v>
      </c>
      <c r="B161" s="6" t="str">
        <f t="shared" si="4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5"/>
        <v>161</v>
      </c>
      <c r="B162" s="6" t="str">
        <f t="shared" si="4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5"/>
        <v>162</v>
      </c>
      <c r="B163" s="6" t="str">
        <f t="shared" si="4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5"/>
        <v>163</v>
      </c>
      <c r="B164" s="6" t="str">
        <f t="shared" si="4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5"/>
        <v>164</v>
      </c>
      <c r="B165" s="6" t="str">
        <f t="shared" si="4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5"/>
        <v>165</v>
      </c>
      <c r="B166" s="6" t="str">
        <f t="shared" si="4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5"/>
        <v>166</v>
      </c>
      <c r="B167" s="6" t="str">
        <f t="shared" si="4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5"/>
        <v>167</v>
      </c>
      <c r="B168" s="6" t="str">
        <f t="shared" si="4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5"/>
        <v>168</v>
      </c>
      <c r="B169" s="6" t="str">
        <f t="shared" si="4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5"/>
        <v>169</v>
      </c>
      <c r="B170" s="6" t="str">
        <f t="shared" si="4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5"/>
        <v>170</v>
      </c>
      <c r="B171" s="6" t="str">
        <f t="shared" si="4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5"/>
        <v>171</v>
      </c>
      <c r="B172" s="6" t="str">
        <f t="shared" si="4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5"/>
        <v>172</v>
      </c>
      <c r="B173" s="6" t="str">
        <f t="shared" si="4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5"/>
        <v>173</v>
      </c>
      <c r="B174" s="6" t="str">
        <f t="shared" si="4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5"/>
        <v>174</v>
      </c>
      <c r="B175" s="6" t="str">
        <f t="shared" si="4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5"/>
        <v>175</v>
      </c>
      <c r="B176" s="6" t="str">
        <f t="shared" si="4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5"/>
        <v>176</v>
      </c>
      <c r="B177" s="6" t="str">
        <f t="shared" si="4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5"/>
        <v>177</v>
      </c>
      <c r="B178" s="6" t="str">
        <f t="shared" si="4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5"/>
        <v>178</v>
      </c>
      <c r="B179" s="6" t="str">
        <f t="shared" si="4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5"/>
        <v>179</v>
      </c>
      <c r="B180" s="6" t="str">
        <f t="shared" si="4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5"/>
        <v>180</v>
      </c>
      <c r="B181" s="6" t="str">
        <f t="shared" si="4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5"/>
        <v>181</v>
      </c>
      <c r="B182" s="6" t="str">
        <f t="shared" si="4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5"/>
        <v>182</v>
      </c>
      <c r="B183" s="6" t="str">
        <f t="shared" si="4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5"/>
        <v>183</v>
      </c>
      <c r="B184" s="6" t="str">
        <f t="shared" si="4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5"/>
        <v>184</v>
      </c>
      <c r="B185" s="6" t="str">
        <f t="shared" si="4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5"/>
        <v>185</v>
      </c>
      <c r="B186" s="6" t="str">
        <f t="shared" si="4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5"/>
        <v>186</v>
      </c>
      <c r="B187" s="6" t="str">
        <f t="shared" si="4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5"/>
        <v>187</v>
      </c>
      <c r="B188" s="6" t="str">
        <f t="shared" si="4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5"/>
        <v>188</v>
      </c>
      <c r="B189" s="6" t="str">
        <f t="shared" si="4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5"/>
        <v>189</v>
      </c>
      <c r="B190" s="6" t="str">
        <f t="shared" si="4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5"/>
        <v>190</v>
      </c>
      <c r="B191" s="6" t="str">
        <f t="shared" si="4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5"/>
        <v>191</v>
      </c>
      <c r="B192" s="6" t="str">
        <f t="shared" si="4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5"/>
        <v>192</v>
      </c>
      <c r="B193" s="6" t="str">
        <f t="shared" si="4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5"/>
        <v>193</v>
      </c>
      <c r="B194" s="6" t="str">
        <f t="shared" si="4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5"/>
        <v>194</v>
      </c>
      <c r="B195" s="6" t="str">
        <f t="shared" ref="B195:B258" si="6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7">A195+1</f>
        <v>195</v>
      </c>
      <c r="B196" s="6" t="str">
        <f t="shared" si="6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7"/>
        <v>196</v>
      </c>
      <c r="B197" s="6" t="str">
        <f t="shared" si="6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7"/>
        <v>197</v>
      </c>
      <c r="B198" s="6" t="str">
        <f t="shared" si="6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7"/>
        <v>198</v>
      </c>
      <c r="B199" s="6" t="str">
        <f t="shared" si="6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7"/>
        <v>199</v>
      </c>
      <c r="B200" s="6" t="str">
        <f t="shared" si="6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7"/>
        <v>200</v>
      </c>
      <c r="B201" s="6" t="str">
        <f t="shared" si="6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7"/>
        <v>201</v>
      </c>
      <c r="B202" s="6" t="str">
        <f t="shared" si="6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7"/>
        <v>202</v>
      </c>
      <c r="B203" s="6" t="str">
        <f t="shared" si="6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7"/>
        <v>203</v>
      </c>
      <c r="B204" s="6" t="str">
        <f t="shared" si="6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7"/>
        <v>204</v>
      </c>
      <c r="B205" s="6" t="str">
        <f t="shared" si="6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7"/>
        <v>205</v>
      </c>
      <c r="B206" s="6" t="str">
        <f t="shared" si="6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7"/>
        <v>206</v>
      </c>
      <c r="B207" s="6" t="str">
        <f t="shared" si="6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7"/>
        <v>207</v>
      </c>
      <c r="B208" s="6" t="str">
        <f t="shared" si="6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7"/>
        <v>208</v>
      </c>
      <c r="B209" s="6" t="str">
        <f t="shared" si="6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7"/>
        <v>209</v>
      </c>
      <c r="B210" s="6" t="str">
        <f t="shared" si="6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7"/>
        <v>210</v>
      </c>
      <c r="B211" s="6" t="str">
        <f t="shared" si="6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7"/>
        <v>211</v>
      </c>
      <c r="B212" s="6" t="str">
        <f t="shared" si="6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7"/>
        <v>212</v>
      </c>
      <c r="B213" s="6" t="str">
        <f t="shared" si="6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7"/>
        <v>213</v>
      </c>
      <c r="B214" s="6" t="str">
        <f t="shared" si="6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7"/>
        <v>214</v>
      </c>
      <c r="B215" s="6" t="str">
        <f t="shared" si="6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7"/>
        <v>215</v>
      </c>
      <c r="B216" s="6" t="str">
        <f t="shared" si="6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7"/>
        <v>216</v>
      </c>
      <c r="B217" s="6" t="str">
        <f t="shared" si="6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7"/>
        <v>217</v>
      </c>
      <c r="B218" s="6" t="str">
        <f t="shared" si="6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7"/>
        <v>218</v>
      </c>
      <c r="B219" s="6" t="str">
        <f t="shared" si="6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7"/>
        <v>219</v>
      </c>
      <c r="B220" s="6" t="str">
        <f t="shared" si="6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7"/>
        <v>220</v>
      </c>
      <c r="B221" s="6" t="str">
        <f t="shared" si="6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7"/>
        <v>221</v>
      </c>
      <c r="B222" s="6" t="str">
        <f t="shared" si="6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7"/>
        <v>222</v>
      </c>
      <c r="B223" s="6" t="str">
        <f t="shared" si="6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7"/>
        <v>223</v>
      </c>
      <c r="B224" s="6" t="str">
        <f t="shared" si="6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7"/>
        <v>224</v>
      </c>
      <c r="B225" s="6" t="str">
        <f t="shared" si="6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7"/>
        <v>225</v>
      </c>
      <c r="B226" s="6" t="str">
        <f t="shared" si="6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7"/>
        <v>226</v>
      </c>
      <c r="B227" s="6" t="str">
        <f t="shared" si="6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7"/>
        <v>227</v>
      </c>
      <c r="B228" s="6" t="str">
        <f t="shared" si="6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7"/>
        <v>228</v>
      </c>
      <c r="B229" s="6" t="str">
        <f t="shared" si="6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7"/>
        <v>229</v>
      </c>
      <c r="B230" s="6" t="str">
        <f t="shared" si="6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7"/>
        <v>230</v>
      </c>
      <c r="B231" s="6" t="str">
        <f t="shared" si="6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7"/>
        <v>231</v>
      </c>
      <c r="B232" s="6" t="str">
        <f t="shared" si="6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7"/>
        <v>232</v>
      </c>
      <c r="B233" s="6" t="str">
        <f t="shared" si="6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7"/>
        <v>233</v>
      </c>
      <c r="B234" s="6" t="str">
        <f t="shared" si="6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7"/>
        <v>234</v>
      </c>
      <c r="B235" s="6" t="str">
        <f t="shared" si="6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7"/>
        <v>235</v>
      </c>
      <c r="B236" s="6" t="str">
        <f t="shared" si="6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7"/>
        <v>236</v>
      </c>
      <c r="B237" s="6" t="str">
        <f t="shared" si="6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7"/>
        <v>237</v>
      </c>
      <c r="B238" s="6" t="str">
        <f t="shared" si="6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7"/>
        <v>238</v>
      </c>
      <c r="B239" s="6" t="str">
        <f t="shared" si="6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7"/>
        <v>239</v>
      </c>
      <c r="B240" s="6" t="str">
        <f t="shared" si="6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7"/>
        <v>240</v>
      </c>
      <c r="B241" s="6" t="str">
        <f t="shared" si="6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7"/>
        <v>241</v>
      </c>
      <c r="B242" s="6" t="str">
        <f t="shared" si="6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7"/>
        <v>242</v>
      </c>
      <c r="B243" s="6" t="str">
        <f t="shared" si="6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7"/>
        <v>243</v>
      </c>
      <c r="B244" s="6" t="str">
        <f t="shared" si="6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7"/>
        <v>244</v>
      </c>
      <c r="B245" s="6" t="str">
        <f t="shared" si="6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7"/>
        <v>245</v>
      </c>
      <c r="B246" s="6" t="str">
        <f t="shared" si="6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7"/>
        <v>246</v>
      </c>
      <c r="B247" s="6" t="str">
        <f t="shared" si="6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7"/>
        <v>247</v>
      </c>
      <c r="B248" s="6" t="str">
        <f t="shared" si="6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7"/>
        <v>248</v>
      </c>
      <c r="B249" s="6" t="str">
        <f t="shared" si="6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7"/>
        <v>249</v>
      </c>
      <c r="B250" s="6" t="str">
        <f t="shared" si="6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7"/>
        <v>250</v>
      </c>
      <c r="B251" s="6" t="str">
        <f t="shared" si="6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7"/>
        <v>251</v>
      </c>
      <c r="B252" s="6" t="str">
        <f t="shared" si="6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7"/>
        <v>252</v>
      </c>
      <c r="B253" s="6" t="str">
        <f t="shared" si="6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7"/>
        <v>253</v>
      </c>
      <c r="B254" s="6" t="str">
        <f t="shared" si="6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7"/>
        <v>254</v>
      </c>
      <c r="B255" s="6" t="str">
        <f t="shared" si="6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7"/>
        <v>255</v>
      </c>
      <c r="B256" s="6" t="str">
        <f t="shared" si="6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7"/>
        <v>256</v>
      </c>
      <c r="B257" s="6" t="str">
        <f t="shared" si="6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7"/>
        <v>257</v>
      </c>
      <c r="B258" s="6" t="str">
        <f t="shared" si="6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7"/>
        <v>258</v>
      </c>
      <c r="B259" s="6" t="str">
        <f t="shared" ref="B259:B322" si="8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9">A259+1</f>
        <v>259</v>
      </c>
      <c r="B260" s="6" t="str">
        <f t="shared" si="8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9"/>
        <v>260</v>
      </c>
      <c r="B261" s="6" t="str">
        <f t="shared" si="8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9"/>
        <v>261</v>
      </c>
      <c r="B262" s="6" t="str">
        <f t="shared" si="8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9"/>
        <v>262</v>
      </c>
      <c r="B263" s="6" t="str">
        <f t="shared" si="8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9"/>
        <v>263</v>
      </c>
      <c r="B264" s="6" t="str">
        <f t="shared" si="8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9"/>
        <v>264</v>
      </c>
      <c r="B265" s="6" t="str">
        <f t="shared" si="8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9"/>
        <v>265</v>
      </c>
      <c r="B266" s="6" t="str">
        <f t="shared" si="8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9"/>
        <v>266</v>
      </c>
      <c r="B267" s="6" t="str">
        <f t="shared" si="8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9"/>
        <v>267</v>
      </c>
      <c r="B268" s="6" t="str">
        <f t="shared" si="8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9"/>
        <v>268</v>
      </c>
      <c r="B269" s="6" t="str">
        <f t="shared" si="8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9"/>
        <v>269</v>
      </c>
      <c r="B270" s="6" t="str">
        <f t="shared" si="8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9"/>
        <v>270</v>
      </c>
      <c r="B271" s="6" t="str">
        <f t="shared" si="8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9"/>
        <v>271</v>
      </c>
      <c r="B272" s="6" t="str">
        <f t="shared" si="8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9"/>
        <v>272</v>
      </c>
      <c r="B273" s="6" t="str">
        <f t="shared" si="8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9"/>
        <v>273</v>
      </c>
      <c r="B274" s="6" t="str">
        <f t="shared" si="8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9"/>
        <v>274</v>
      </c>
      <c r="B275" s="6" t="str">
        <f t="shared" si="8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9"/>
        <v>275</v>
      </c>
      <c r="B276" s="6" t="str">
        <f t="shared" si="8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9"/>
        <v>276</v>
      </c>
      <c r="B277" s="6" t="str">
        <f t="shared" si="8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9"/>
        <v>277</v>
      </c>
      <c r="B278" s="6" t="str">
        <f t="shared" si="8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9"/>
        <v>278</v>
      </c>
      <c r="B279" s="6" t="str">
        <f t="shared" si="8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9"/>
        <v>279</v>
      </c>
      <c r="B280" s="6" t="str">
        <f t="shared" si="8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9"/>
        <v>280</v>
      </c>
      <c r="B281" s="6" t="str">
        <f t="shared" si="8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9"/>
        <v>281</v>
      </c>
      <c r="B282" s="6" t="str">
        <f t="shared" si="8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9"/>
        <v>282</v>
      </c>
      <c r="B283" s="6" t="str">
        <f t="shared" si="8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9"/>
        <v>283</v>
      </c>
      <c r="B284" s="6" t="str">
        <f t="shared" si="8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9"/>
        <v>284</v>
      </c>
      <c r="B285" s="6" t="str">
        <f t="shared" si="8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9"/>
        <v>285</v>
      </c>
      <c r="B286" s="6" t="str">
        <f t="shared" si="8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9"/>
        <v>286</v>
      </c>
      <c r="B287" s="6" t="str">
        <f t="shared" si="8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9"/>
        <v>287</v>
      </c>
      <c r="B288" s="6" t="str">
        <f t="shared" si="8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9"/>
        <v>288</v>
      </c>
      <c r="B289" s="6" t="str">
        <f t="shared" si="8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9"/>
        <v>289</v>
      </c>
      <c r="B290" s="6" t="str">
        <f t="shared" si="8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9"/>
        <v>290</v>
      </c>
      <c r="B291" s="6" t="str">
        <f t="shared" si="8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9"/>
        <v>291</v>
      </c>
      <c r="B292" s="6" t="str">
        <f t="shared" si="8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9"/>
        <v>292</v>
      </c>
      <c r="B293" s="6" t="str">
        <f t="shared" si="8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9"/>
        <v>293</v>
      </c>
      <c r="B294" s="6" t="str">
        <f t="shared" si="8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9"/>
        <v>294</v>
      </c>
      <c r="B295" s="6" t="str">
        <f t="shared" si="8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9"/>
        <v>295</v>
      </c>
      <c r="B296" s="6" t="str">
        <f t="shared" si="8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9"/>
        <v>296</v>
      </c>
      <c r="B297" s="6" t="str">
        <f t="shared" si="8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9"/>
        <v>297</v>
      </c>
      <c r="B298" s="6" t="str">
        <f t="shared" si="8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9"/>
        <v>298</v>
      </c>
      <c r="B299" s="6" t="str">
        <f t="shared" si="8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9"/>
        <v>299</v>
      </c>
      <c r="B300" s="6" t="str">
        <f t="shared" si="8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9"/>
        <v>300</v>
      </c>
      <c r="B301" s="6" t="str">
        <f t="shared" si="8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9"/>
        <v>301</v>
      </c>
      <c r="B302" s="6" t="str">
        <f t="shared" si="8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9"/>
        <v>302</v>
      </c>
      <c r="B303" s="6" t="str">
        <f t="shared" si="8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9"/>
        <v>303</v>
      </c>
      <c r="B304" s="6" t="str">
        <f t="shared" si="8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9"/>
        <v>304</v>
      </c>
      <c r="B305" s="6" t="str">
        <f t="shared" si="8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9"/>
        <v>305</v>
      </c>
      <c r="B306" s="6" t="str">
        <f t="shared" si="8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9"/>
        <v>306</v>
      </c>
      <c r="B307" s="6" t="str">
        <f t="shared" si="8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9"/>
        <v>307</v>
      </c>
      <c r="B308" s="6" t="str">
        <f t="shared" si="8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9"/>
        <v>308</v>
      </c>
      <c r="B309" s="6" t="str">
        <f t="shared" si="8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9"/>
        <v>309</v>
      </c>
      <c r="B310" s="6" t="str">
        <f t="shared" si="8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9"/>
        <v>310</v>
      </c>
      <c r="B311" s="6" t="str">
        <f t="shared" si="8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9"/>
        <v>311</v>
      </c>
      <c r="B312" s="6" t="str">
        <f t="shared" si="8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9"/>
        <v>312</v>
      </c>
      <c r="B313" s="6" t="str">
        <f t="shared" si="8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9"/>
        <v>313</v>
      </c>
      <c r="B314" s="6" t="str">
        <f t="shared" si="8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9"/>
        <v>314</v>
      </c>
      <c r="B315" s="6" t="str">
        <f t="shared" si="8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9"/>
        <v>315</v>
      </c>
      <c r="B316" s="6" t="str">
        <f t="shared" si="8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9"/>
        <v>316</v>
      </c>
      <c r="B317" s="6" t="str">
        <f t="shared" si="8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9"/>
        <v>317</v>
      </c>
      <c r="B318" s="6" t="str">
        <f t="shared" si="8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9"/>
        <v>318</v>
      </c>
      <c r="B319" s="6" t="str">
        <f t="shared" si="8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9"/>
        <v>319</v>
      </c>
      <c r="B320" s="6" t="str">
        <f t="shared" si="8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9"/>
        <v>320</v>
      </c>
      <c r="B321" s="6" t="str">
        <f t="shared" si="8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9"/>
        <v>321</v>
      </c>
      <c r="B322" s="6" t="str">
        <f t="shared" si="8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9"/>
        <v>322</v>
      </c>
      <c r="B323" s="6" t="str">
        <f t="shared" ref="B323:B386" si="10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1">A323+1</f>
        <v>323</v>
      </c>
      <c r="B324" s="6" t="str">
        <f t="shared" si="10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1"/>
        <v>324</v>
      </c>
      <c r="B325" s="6" t="str">
        <f t="shared" si="10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1"/>
        <v>325</v>
      </c>
      <c r="B326" s="6" t="str">
        <f t="shared" si="10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1"/>
        <v>326</v>
      </c>
      <c r="B327" s="6" t="str">
        <f t="shared" si="10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1"/>
        <v>327</v>
      </c>
      <c r="B328" s="6" t="str">
        <f t="shared" si="10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1"/>
        <v>328</v>
      </c>
      <c r="B329" s="6" t="str">
        <f t="shared" si="10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1"/>
        <v>329</v>
      </c>
      <c r="B330" s="6" t="str">
        <f t="shared" si="10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1"/>
        <v>330</v>
      </c>
      <c r="B331" s="6" t="str">
        <f t="shared" si="10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1"/>
        <v>331</v>
      </c>
      <c r="B332" s="6" t="str">
        <f t="shared" si="10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1"/>
        <v>332</v>
      </c>
      <c r="B333" s="6" t="str">
        <f t="shared" si="10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1"/>
        <v>333</v>
      </c>
      <c r="B334" s="6" t="str">
        <f t="shared" si="10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1"/>
        <v>334</v>
      </c>
      <c r="B335" s="6" t="str">
        <f t="shared" si="10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1"/>
        <v>335</v>
      </c>
      <c r="B336" s="6" t="str">
        <f t="shared" si="10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1"/>
        <v>336</v>
      </c>
      <c r="B337" s="6" t="str">
        <f t="shared" si="10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1"/>
        <v>337</v>
      </c>
      <c r="B338" s="6" t="str">
        <f t="shared" si="10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1"/>
        <v>338</v>
      </c>
      <c r="B339" s="6" t="str">
        <f t="shared" si="10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1"/>
        <v>339</v>
      </c>
      <c r="B340" s="6" t="str">
        <f t="shared" si="10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1"/>
        <v>340</v>
      </c>
      <c r="B341" s="6" t="str">
        <f t="shared" si="10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1"/>
        <v>341</v>
      </c>
      <c r="B342" s="6" t="str">
        <f t="shared" si="10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1"/>
        <v>342</v>
      </c>
      <c r="B343" s="6" t="str">
        <f t="shared" si="10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1"/>
        <v>343</v>
      </c>
      <c r="B344" s="6" t="str">
        <f t="shared" si="10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1"/>
        <v>344</v>
      </c>
      <c r="B345" s="6" t="str">
        <f t="shared" si="10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1"/>
        <v>345</v>
      </c>
      <c r="B346" s="6" t="str">
        <f t="shared" si="10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1"/>
        <v>346</v>
      </c>
      <c r="B347" s="6" t="str">
        <f t="shared" si="10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1"/>
        <v>347</v>
      </c>
      <c r="B348" s="6" t="str">
        <f t="shared" si="10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1"/>
        <v>348</v>
      </c>
      <c r="B349" s="6" t="str">
        <f t="shared" si="10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1"/>
        <v>349</v>
      </c>
      <c r="B350" s="6" t="str">
        <f t="shared" si="10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1"/>
        <v>350</v>
      </c>
      <c r="B351" s="6" t="str">
        <f t="shared" si="10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1"/>
        <v>351</v>
      </c>
      <c r="B352" s="6" t="str">
        <f t="shared" si="10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1"/>
        <v>352</v>
      </c>
      <c r="B353" s="6" t="str">
        <f t="shared" si="10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1"/>
        <v>353</v>
      </c>
      <c r="B354" s="6" t="str">
        <f t="shared" si="10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1"/>
        <v>354</v>
      </c>
      <c r="B355" s="6" t="str">
        <f t="shared" si="10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1"/>
        <v>355</v>
      </c>
      <c r="B356" s="6" t="str">
        <f t="shared" si="10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1"/>
        <v>356</v>
      </c>
      <c r="B357" s="6" t="str">
        <f t="shared" si="10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1"/>
        <v>357</v>
      </c>
      <c r="B358" s="6" t="str">
        <f t="shared" si="10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1"/>
        <v>358</v>
      </c>
      <c r="B359" s="6" t="str">
        <f t="shared" si="10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1"/>
        <v>359</v>
      </c>
      <c r="B360" s="6" t="str">
        <f t="shared" si="10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1"/>
        <v>360</v>
      </c>
      <c r="B361" s="6" t="str">
        <f t="shared" si="10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1"/>
        <v>361</v>
      </c>
      <c r="B362" s="6" t="str">
        <f t="shared" si="10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1"/>
        <v>362</v>
      </c>
      <c r="B363" s="6" t="str">
        <f t="shared" si="10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1"/>
        <v>363</v>
      </c>
      <c r="B364" s="6" t="str">
        <f t="shared" si="10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1"/>
        <v>364</v>
      </c>
      <c r="B365" s="6" t="str">
        <f t="shared" si="10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1"/>
        <v>365</v>
      </c>
      <c r="B366" s="6" t="str">
        <f t="shared" si="10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1"/>
        <v>366</v>
      </c>
      <c r="B367" s="6" t="str">
        <f t="shared" si="10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1"/>
        <v>367</v>
      </c>
      <c r="B368" s="6" t="str">
        <f t="shared" si="10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1"/>
        <v>368</v>
      </c>
      <c r="B369" s="6" t="str">
        <f t="shared" si="10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1"/>
        <v>369</v>
      </c>
      <c r="B370" s="6" t="str">
        <f t="shared" si="10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1"/>
        <v>370</v>
      </c>
      <c r="B371" s="6" t="str">
        <f t="shared" si="10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1"/>
        <v>371</v>
      </c>
      <c r="B372" s="6" t="str">
        <f t="shared" si="10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1"/>
        <v>372</v>
      </c>
      <c r="B373" s="6" t="str">
        <f t="shared" si="10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1"/>
        <v>373</v>
      </c>
      <c r="B374" s="6" t="str">
        <f t="shared" si="10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1"/>
        <v>374</v>
      </c>
      <c r="B375" s="6" t="str">
        <f t="shared" si="10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1"/>
        <v>375</v>
      </c>
      <c r="B376" s="6" t="str">
        <f t="shared" si="10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1"/>
        <v>376</v>
      </c>
      <c r="B377" s="6" t="str">
        <f t="shared" si="10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1"/>
        <v>377</v>
      </c>
      <c r="B378" s="6" t="str">
        <f t="shared" si="10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1"/>
        <v>378</v>
      </c>
      <c r="B379" s="6" t="str">
        <f t="shared" si="10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1"/>
        <v>379</v>
      </c>
      <c r="B380" s="6" t="str">
        <f t="shared" si="10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1"/>
        <v>380</v>
      </c>
      <c r="B381" s="6" t="str">
        <f t="shared" si="10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1"/>
        <v>381</v>
      </c>
      <c r="B382" s="6" t="str">
        <f t="shared" si="10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1"/>
        <v>382</v>
      </c>
      <c r="B383" s="6" t="str">
        <f t="shared" si="10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1"/>
        <v>383</v>
      </c>
      <c r="B384" s="6" t="str">
        <f t="shared" si="10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1"/>
        <v>384</v>
      </c>
      <c r="B385" s="6" t="str">
        <f t="shared" si="10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1"/>
        <v>385</v>
      </c>
      <c r="B386" s="6" t="str">
        <f t="shared" si="10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1"/>
        <v>386</v>
      </c>
      <c r="B387" s="6" t="str">
        <f t="shared" ref="B387:B450" si="12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3">A387+1</f>
        <v>387</v>
      </c>
      <c r="B388" s="6" t="str">
        <f t="shared" si="12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3"/>
        <v>388</v>
      </c>
      <c r="B389" s="6" t="str">
        <f t="shared" si="12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3"/>
        <v>389</v>
      </c>
      <c r="B390" s="6" t="str">
        <f t="shared" si="12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3"/>
        <v>390</v>
      </c>
      <c r="B391" s="6" t="str">
        <f t="shared" si="12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3"/>
        <v>391</v>
      </c>
      <c r="B392" s="6" t="str">
        <f t="shared" si="12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3"/>
        <v>392</v>
      </c>
      <c r="B393" s="6" t="str">
        <f t="shared" si="12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3"/>
        <v>393</v>
      </c>
      <c r="B394" s="6" t="str">
        <f t="shared" si="12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3"/>
        <v>394</v>
      </c>
      <c r="B395" s="6" t="str">
        <f t="shared" si="12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3"/>
        <v>395</v>
      </c>
      <c r="B396" s="6" t="str">
        <f t="shared" si="12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3"/>
        <v>396</v>
      </c>
      <c r="B397" s="6" t="str">
        <f t="shared" si="12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3"/>
        <v>397</v>
      </c>
      <c r="B398" s="6" t="str">
        <f t="shared" si="12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3"/>
        <v>398</v>
      </c>
      <c r="B399" s="6" t="str">
        <f t="shared" si="12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3"/>
        <v>399</v>
      </c>
      <c r="B400" s="6" t="str">
        <f t="shared" si="12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3"/>
        <v>400</v>
      </c>
      <c r="B401" s="6" t="str">
        <f t="shared" si="12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3"/>
        <v>401</v>
      </c>
      <c r="B402" s="6" t="str">
        <f t="shared" si="12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3"/>
        <v>402</v>
      </c>
      <c r="B403" s="6" t="str">
        <f t="shared" si="12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3"/>
        <v>403</v>
      </c>
      <c r="B404" s="6" t="str">
        <f t="shared" si="12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3"/>
        <v>404</v>
      </c>
      <c r="B405" s="6" t="str">
        <f t="shared" si="12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3"/>
        <v>405</v>
      </c>
      <c r="B406" s="6" t="str">
        <f t="shared" si="12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3"/>
        <v>406</v>
      </c>
      <c r="B407" s="6" t="str">
        <f t="shared" si="12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3"/>
        <v>407</v>
      </c>
      <c r="B408" s="6" t="str">
        <f t="shared" si="12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3"/>
        <v>408</v>
      </c>
      <c r="B409" s="6" t="str">
        <f t="shared" si="12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3"/>
        <v>409</v>
      </c>
      <c r="B410" s="6" t="str">
        <f t="shared" si="12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3"/>
        <v>410</v>
      </c>
      <c r="B411" s="6" t="str">
        <f t="shared" si="12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3"/>
        <v>411</v>
      </c>
      <c r="B412" s="6" t="str">
        <f t="shared" si="12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3"/>
        <v>412</v>
      </c>
      <c r="B413" s="6" t="str">
        <f t="shared" si="12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3"/>
        <v>413</v>
      </c>
      <c r="B414" s="6" t="str">
        <f t="shared" si="12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3"/>
        <v>414</v>
      </c>
      <c r="B415" s="6" t="str">
        <f t="shared" si="12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3"/>
        <v>415</v>
      </c>
      <c r="B416" s="6" t="str">
        <f t="shared" si="12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3"/>
        <v>416</v>
      </c>
      <c r="B417" s="6" t="str">
        <f t="shared" si="12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3"/>
        <v>417</v>
      </c>
      <c r="B418" s="6" t="str">
        <f t="shared" si="12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3"/>
        <v>418</v>
      </c>
      <c r="B419" s="6" t="str">
        <f t="shared" si="12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3"/>
        <v>419</v>
      </c>
      <c r="B420" s="6" t="str">
        <f t="shared" si="12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3"/>
        <v>420</v>
      </c>
      <c r="B421" s="6" t="str">
        <f t="shared" si="12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3"/>
        <v>421</v>
      </c>
      <c r="B422" s="6" t="str">
        <f t="shared" si="12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3"/>
        <v>422</v>
      </c>
      <c r="B423" s="6" t="str">
        <f t="shared" si="12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3"/>
        <v>423</v>
      </c>
      <c r="B424" s="6" t="str">
        <f t="shared" si="12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3"/>
        <v>424</v>
      </c>
      <c r="B425" s="6" t="str">
        <f t="shared" si="12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3"/>
        <v>425</v>
      </c>
      <c r="B426" s="6" t="str">
        <f t="shared" si="12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3"/>
        <v>426</v>
      </c>
      <c r="B427" s="6" t="str">
        <f t="shared" si="12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3"/>
        <v>427</v>
      </c>
      <c r="B428" s="6" t="str">
        <f t="shared" si="12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3"/>
        <v>428</v>
      </c>
      <c r="B429" s="6" t="str">
        <f t="shared" si="12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3"/>
        <v>429</v>
      </c>
      <c r="B430" s="6" t="str">
        <f t="shared" si="12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3"/>
        <v>430</v>
      </c>
      <c r="B431" s="6" t="str">
        <f t="shared" si="12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3"/>
        <v>431</v>
      </c>
      <c r="B432" s="6" t="str">
        <f t="shared" si="12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3"/>
        <v>432</v>
      </c>
      <c r="B433" s="6" t="str">
        <f t="shared" si="12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3"/>
        <v>433</v>
      </c>
      <c r="B434" s="6" t="str">
        <f t="shared" si="12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3"/>
        <v>434</v>
      </c>
      <c r="B435" s="6" t="str">
        <f t="shared" si="12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3"/>
        <v>435</v>
      </c>
      <c r="B436" s="6" t="str">
        <f t="shared" si="12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3"/>
        <v>436</v>
      </c>
      <c r="B437" s="6" t="str">
        <f t="shared" si="12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3"/>
        <v>437</v>
      </c>
      <c r="B438" s="6" t="str">
        <f t="shared" si="12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3"/>
        <v>438</v>
      </c>
      <c r="B439" s="6" t="str">
        <f t="shared" si="12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3"/>
        <v>439</v>
      </c>
      <c r="B440" s="6" t="str">
        <f t="shared" si="12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3"/>
        <v>440</v>
      </c>
      <c r="B441" s="6" t="str">
        <f t="shared" si="12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3"/>
        <v>441</v>
      </c>
      <c r="B442" s="6" t="str">
        <f t="shared" si="12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3"/>
        <v>442</v>
      </c>
      <c r="B443" s="6" t="str">
        <f t="shared" si="12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3"/>
        <v>443</v>
      </c>
      <c r="B444" s="6" t="str">
        <f t="shared" si="12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3"/>
        <v>444</v>
      </c>
      <c r="B445" s="6" t="str">
        <f t="shared" si="12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3"/>
        <v>445</v>
      </c>
      <c r="B446" s="6" t="str">
        <f t="shared" si="12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3"/>
        <v>446</v>
      </c>
      <c r="B447" s="6" t="str">
        <f t="shared" si="12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3"/>
        <v>447</v>
      </c>
      <c r="B448" s="6" t="str">
        <f t="shared" si="12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3"/>
        <v>448</v>
      </c>
      <c r="B449" s="6" t="str">
        <f t="shared" si="12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3"/>
        <v>449</v>
      </c>
      <c r="B450" s="6" t="str">
        <f t="shared" si="12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3"/>
        <v>450</v>
      </c>
      <c r="B451" s="6" t="str">
        <f t="shared" ref="B451:B514" si="14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15">A451+1</f>
        <v>451</v>
      </c>
      <c r="B452" s="6" t="str">
        <f t="shared" si="14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15"/>
        <v>452</v>
      </c>
      <c r="B453" s="6" t="str">
        <f t="shared" si="14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15"/>
        <v>453</v>
      </c>
      <c r="B454" s="6" t="str">
        <f t="shared" si="14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15"/>
        <v>454</v>
      </c>
      <c r="B455" s="6" t="str">
        <f t="shared" si="14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15"/>
        <v>455</v>
      </c>
      <c r="B456" s="6" t="str">
        <f t="shared" si="14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15"/>
        <v>456</v>
      </c>
      <c r="B457" s="6" t="str">
        <f t="shared" si="14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15"/>
        <v>457</v>
      </c>
      <c r="B458" s="6" t="str">
        <f t="shared" si="14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15"/>
        <v>458</v>
      </c>
      <c r="B459" s="6" t="str">
        <f t="shared" si="14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15"/>
        <v>459</v>
      </c>
      <c r="B460" s="6" t="str">
        <f t="shared" si="14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15"/>
        <v>460</v>
      </c>
      <c r="B461" s="6" t="str">
        <f t="shared" si="14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15"/>
        <v>461</v>
      </c>
      <c r="B462" s="6" t="str">
        <f t="shared" si="14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15"/>
        <v>462</v>
      </c>
      <c r="B463" s="6" t="str">
        <f t="shared" si="14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15"/>
        <v>463</v>
      </c>
      <c r="B464" s="6" t="str">
        <f t="shared" si="14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15"/>
        <v>464</v>
      </c>
      <c r="B465" s="6" t="str">
        <f t="shared" si="14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15"/>
        <v>465</v>
      </c>
      <c r="B466" s="6" t="str">
        <f t="shared" si="14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15"/>
        <v>466</v>
      </c>
      <c r="B467" s="6" t="str">
        <f t="shared" si="14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15"/>
        <v>467</v>
      </c>
      <c r="B468" s="6" t="str">
        <f t="shared" si="14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15"/>
        <v>468</v>
      </c>
      <c r="B469" s="6" t="str">
        <f t="shared" si="14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15"/>
        <v>469</v>
      </c>
      <c r="B470" s="6" t="str">
        <f t="shared" si="14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15"/>
        <v>470</v>
      </c>
      <c r="B471" s="6" t="str">
        <f t="shared" si="14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15"/>
        <v>471</v>
      </c>
      <c r="B472" s="6" t="str">
        <f t="shared" si="14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15"/>
        <v>472</v>
      </c>
      <c r="B473" s="6" t="str">
        <f t="shared" si="14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15"/>
        <v>473</v>
      </c>
      <c r="B474" s="6" t="str">
        <f t="shared" si="14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15"/>
        <v>474</v>
      </c>
      <c r="B475" s="6" t="str">
        <f t="shared" si="14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15"/>
        <v>475</v>
      </c>
      <c r="B476" s="6" t="str">
        <f t="shared" si="14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15"/>
        <v>476</v>
      </c>
      <c r="B477" s="6" t="str">
        <f t="shared" si="14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15"/>
        <v>477</v>
      </c>
      <c r="B478" s="6" t="str">
        <f t="shared" si="14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15"/>
        <v>478</v>
      </c>
      <c r="B479" s="6" t="str">
        <f t="shared" si="14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15"/>
        <v>479</v>
      </c>
      <c r="B480" s="6" t="str">
        <f t="shared" si="14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15"/>
        <v>480</v>
      </c>
      <c r="B481" s="6" t="str">
        <f t="shared" si="14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15"/>
        <v>481</v>
      </c>
      <c r="B482" s="6" t="str">
        <f t="shared" si="14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15"/>
        <v>482</v>
      </c>
      <c r="B483" s="6" t="str">
        <f t="shared" si="14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15"/>
        <v>483</v>
      </c>
      <c r="B484" s="6" t="str">
        <f t="shared" si="14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15"/>
        <v>484</v>
      </c>
      <c r="B485" s="6" t="str">
        <f t="shared" si="14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15"/>
        <v>485</v>
      </c>
      <c r="B486" s="6" t="str">
        <f t="shared" si="14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15"/>
        <v>486</v>
      </c>
      <c r="B487" s="6" t="str">
        <f t="shared" si="14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15"/>
        <v>487</v>
      </c>
      <c r="B488" s="6" t="str">
        <f t="shared" si="14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15"/>
        <v>488</v>
      </c>
      <c r="B489" s="6" t="str">
        <f t="shared" si="14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15"/>
        <v>489</v>
      </c>
      <c r="B490" s="6" t="str">
        <f t="shared" si="14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15"/>
        <v>490</v>
      </c>
      <c r="B491" s="6" t="str">
        <f t="shared" si="14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15"/>
        <v>491</v>
      </c>
      <c r="B492" s="6" t="str">
        <f t="shared" si="14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15"/>
        <v>492</v>
      </c>
      <c r="B493" s="6" t="str">
        <f t="shared" si="14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15"/>
        <v>493</v>
      </c>
      <c r="B494" s="6" t="str">
        <f t="shared" si="14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15"/>
        <v>494</v>
      </c>
      <c r="B495" s="6" t="str">
        <f t="shared" si="14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15"/>
        <v>495</v>
      </c>
      <c r="B496" s="6" t="str">
        <f t="shared" si="14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15"/>
        <v>496</v>
      </c>
      <c r="B497" s="6" t="str">
        <f t="shared" si="14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15"/>
        <v>497</v>
      </c>
      <c r="B498" s="6" t="str">
        <f t="shared" si="14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15"/>
        <v>498</v>
      </c>
      <c r="B499" s="6" t="str">
        <f t="shared" si="14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15"/>
        <v>499</v>
      </c>
      <c r="B500" s="6" t="str">
        <f t="shared" si="14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15"/>
        <v>500</v>
      </c>
      <c r="B501" s="6" t="str">
        <f t="shared" si="14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15"/>
        <v>501</v>
      </c>
      <c r="B502" s="6" t="str">
        <f t="shared" si="14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15"/>
        <v>502</v>
      </c>
      <c r="B503" s="6" t="str">
        <f t="shared" si="14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15"/>
        <v>503</v>
      </c>
      <c r="B504" s="6" t="str">
        <f t="shared" si="14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15"/>
        <v>504</v>
      </c>
      <c r="B505" s="6" t="str">
        <f t="shared" si="14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15"/>
        <v>505</v>
      </c>
      <c r="B506" s="6" t="str">
        <f t="shared" si="14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15"/>
        <v>506</v>
      </c>
      <c r="B507" s="6" t="str">
        <f t="shared" si="14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15"/>
        <v>507</v>
      </c>
      <c r="B508" s="6" t="str">
        <f t="shared" si="14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15"/>
        <v>508</v>
      </c>
      <c r="B509" s="6" t="str">
        <f t="shared" si="14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15"/>
        <v>509</v>
      </c>
      <c r="B510" s="6" t="str">
        <f t="shared" si="14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15"/>
        <v>510</v>
      </c>
      <c r="B511" s="6" t="str">
        <f t="shared" si="14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15"/>
        <v>511</v>
      </c>
      <c r="B512" s="6" t="str">
        <f t="shared" si="14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15"/>
        <v>512</v>
      </c>
      <c r="B513" s="6" t="str">
        <f t="shared" si="14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15"/>
        <v>513</v>
      </c>
      <c r="B514" s="6" t="str">
        <f t="shared" si="14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15"/>
        <v>514</v>
      </c>
      <c r="B515" s="6" t="str">
        <f t="shared" ref="B515:B578" si="16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17">A515+1</f>
        <v>515</v>
      </c>
      <c r="B516" s="6" t="str">
        <f t="shared" si="16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17"/>
        <v>516</v>
      </c>
      <c r="B517" s="6" t="str">
        <f t="shared" si="16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17"/>
        <v>517</v>
      </c>
      <c r="B518" s="6" t="str">
        <f t="shared" si="16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17"/>
        <v>518</v>
      </c>
      <c r="B519" s="6" t="str">
        <f t="shared" si="16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17"/>
        <v>519</v>
      </c>
      <c r="B520" s="6" t="str">
        <f t="shared" si="16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17"/>
        <v>520</v>
      </c>
      <c r="B521" s="6" t="str">
        <f t="shared" si="16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17"/>
        <v>521</v>
      </c>
      <c r="B522" s="6" t="str">
        <f t="shared" si="16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17"/>
        <v>522</v>
      </c>
      <c r="B523" s="6" t="str">
        <f t="shared" si="16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17"/>
        <v>523</v>
      </c>
      <c r="B524" s="6" t="str">
        <f t="shared" si="16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17"/>
        <v>524</v>
      </c>
      <c r="B525" s="6" t="str">
        <f t="shared" si="16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17"/>
        <v>525</v>
      </c>
      <c r="B526" s="6" t="str">
        <f t="shared" si="16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17"/>
        <v>526</v>
      </c>
      <c r="B527" s="6" t="str">
        <f t="shared" si="16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17"/>
        <v>527</v>
      </c>
      <c r="B528" s="6" t="str">
        <f t="shared" si="16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17"/>
        <v>528</v>
      </c>
      <c r="B529" s="6" t="str">
        <f t="shared" si="16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17"/>
        <v>529</v>
      </c>
      <c r="B530" s="6" t="str">
        <f t="shared" si="16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17"/>
        <v>530</v>
      </c>
      <c r="B531" s="6" t="str">
        <f t="shared" si="16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17"/>
        <v>531</v>
      </c>
      <c r="B532" s="6" t="str">
        <f t="shared" si="16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17"/>
        <v>532</v>
      </c>
      <c r="B533" s="6" t="str">
        <f t="shared" si="16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17"/>
        <v>533</v>
      </c>
      <c r="B534" s="6" t="str">
        <f t="shared" si="16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17"/>
        <v>534</v>
      </c>
      <c r="B535" s="6" t="str">
        <f t="shared" si="16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17"/>
        <v>535</v>
      </c>
      <c r="B536" s="6" t="str">
        <f t="shared" si="16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17"/>
        <v>536</v>
      </c>
      <c r="B537" s="6" t="str">
        <f t="shared" si="16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17"/>
        <v>537</v>
      </c>
      <c r="B538" s="6" t="str">
        <f t="shared" si="16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17"/>
        <v>538</v>
      </c>
      <c r="B539" s="6" t="str">
        <f t="shared" si="16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17"/>
        <v>539</v>
      </c>
      <c r="B540" s="6" t="str">
        <f t="shared" si="16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17"/>
        <v>540</v>
      </c>
      <c r="B541" s="6" t="str">
        <f t="shared" si="16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17"/>
        <v>541</v>
      </c>
      <c r="B542" s="6" t="str">
        <f t="shared" si="16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17"/>
        <v>542</v>
      </c>
      <c r="B543" s="6" t="str">
        <f t="shared" si="16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17"/>
        <v>543</v>
      </c>
      <c r="B544" s="6" t="str">
        <f t="shared" si="16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17"/>
        <v>544</v>
      </c>
      <c r="B545" s="6" t="str">
        <f t="shared" si="16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17"/>
        <v>545</v>
      </c>
      <c r="B546" s="6" t="str">
        <f t="shared" si="16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17"/>
        <v>546</v>
      </c>
      <c r="B547" s="6" t="str">
        <f t="shared" si="16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17"/>
        <v>547</v>
      </c>
      <c r="B548" s="6" t="str">
        <f t="shared" si="16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17"/>
        <v>548</v>
      </c>
      <c r="B549" s="6" t="str">
        <f t="shared" si="16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17"/>
        <v>549</v>
      </c>
      <c r="B550" s="6" t="str">
        <f t="shared" si="16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17"/>
        <v>550</v>
      </c>
      <c r="B551" s="6" t="str">
        <f t="shared" si="16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17"/>
        <v>551</v>
      </c>
      <c r="B552" s="6" t="str">
        <f t="shared" si="16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17"/>
        <v>552</v>
      </c>
      <c r="B553" s="6" t="str">
        <f t="shared" si="16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17"/>
        <v>553</v>
      </c>
      <c r="B554" s="6" t="str">
        <f t="shared" si="16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17"/>
        <v>554</v>
      </c>
      <c r="B555" s="6" t="str">
        <f t="shared" si="16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17"/>
        <v>555</v>
      </c>
      <c r="B556" s="6" t="str">
        <f t="shared" si="16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17"/>
        <v>556</v>
      </c>
      <c r="B557" s="6" t="str">
        <f t="shared" si="16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17"/>
        <v>557</v>
      </c>
      <c r="B558" s="6" t="str">
        <f t="shared" si="16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17"/>
        <v>558</v>
      </c>
      <c r="B559" s="6" t="str">
        <f t="shared" si="16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17"/>
        <v>559</v>
      </c>
      <c r="B560" s="6" t="str">
        <f t="shared" si="16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17"/>
        <v>560</v>
      </c>
      <c r="B561" s="6" t="str">
        <f t="shared" si="16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17"/>
        <v>561</v>
      </c>
      <c r="B562" s="6" t="str">
        <f t="shared" si="16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17"/>
        <v>562</v>
      </c>
      <c r="B563" s="6" t="str">
        <f t="shared" si="16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17"/>
        <v>563</v>
      </c>
      <c r="B564" s="6" t="str">
        <f t="shared" si="16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17"/>
        <v>564</v>
      </c>
      <c r="B565" s="6" t="str">
        <f t="shared" si="16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17"/>
        <v>565</v>
      </c>
      <c r="B566" s="6" t="str">
        <f t="shared" si="16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17"/>
        <v>566</v>
      </c>
      <c r="B567" s="6" t="str">
        <f t="shared" si="16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17"/>
        <v>567</v>
      </c>
      <c r="B568" s="6" t="str">
        <f t="shared" si="16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17"/>
        <v>568</v>
      </c>
      <c r="B569" s="6" t="str">
        <f t="shared" si="16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17"/>
        <v>569</v>
      </c>
      <c r="B570" s="6" t="str">
        <f t="shared" si="16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17"/>
        <v>570</v>
      </c>
      <c r="B571" s="6" t="str">
        <f t="shared" si="16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17"/>
        <v>571</v>
      </c>
      <c r="B572" s="6" t="str">
        <f t="shared" si="16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17"/>
        <v>572</v>
      </c>
      <c r="B573" s="6" t="str">
        <f t="shared" si="16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17"/>
        <v>573</v>
      </c>
      <c r="B574" s="6" t="str">
        <f t="shared" si="16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17"/>
        <v>574</v>
      </c>
      <c r="B575" s="6" t="str">
        <f t="shared" si="16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17"/>
        <v>575</v>
      </c>
      <c r="B576" s="6" t="str">
        <f t="shared" si="16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17"/>
        <v>576</v>
      </c>
      <c r="B577" s="6" t="str">
        <f t="shared" si="16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17"/>
        <v>577</v>
      </c>
      <c r="B578" s="6" t="str">
        <f t="shared" si="16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17"/>
        <v>578</v>
      </c>
      <c r="B579" s="6" t="str">
        <f t="shared" ref="B579:B642" si="18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19">A579+1</f>
        <v>579</v>
      </c>
      <c r="B580" s="6" t="str">
        <f t="shared" si="18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19"/>
        <v>580</v>
      </c>
      <c r="B581" s="6" t="str">
        <f t="shared" si="18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19"/>
        <v>581</v>
      </c>
      <c r="B582" s="6" t="str">
        <f t="shared" si="18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19"/>
        <v>582</v>
      </c>
      <c r="B583" s="6" t="str">
        <f t="shared" si="18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19"/>
        <v>583</v>
      </c>
      <c r="B584" s="6" t="str">
        <f t="shared" si="18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19"/>
        <v>584</v>
      </c>
      <c r="B585" s="6" t="str">
        <f t="shared" si="18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19"/>
        <v>585</v>
      </c>
      <c r="B586" s="6" t="str">
        <f t="shared" si="18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19"/>
        <v>586</v>
      </c>
      <c r="B587" s="6" t="str">
        <f t="shared" si="18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19"/>
        <v>587</v>
      </c>
      <c r="B588" s="6" t="str">
        <f t="shared" si="18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19"/>
        <v>588</v>
      </c>
      <c r="B589" s="6" t="str">
        <f t="shared" si="18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19"/>
        <v>589</v>
      </c>
      <c r="B590" s="6" t="str">
        <f t="shared" si="18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19"/>
        <v>590</v>
      </c>
      <c r="B591" s="6" t="str">
        <f t="shared" si="18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19"/>
        <v>591</v>
      </c>
      <c r="B592" s="6" t="str">
        <f t="shared" si="18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19"/>
        <v>592</v>
      </c>
      <c r="B593" s="6" t="str">
        <f t="shared" si="18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19"/>
        <v>593</v>
      </c>
      <c r="B594" s="6" t="str">
        <f t="shared" si="18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19"/>
        <v>594</v>
      </c>
      <c r="B595" s="6" t="str">
        <f t="shared" si="18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19"/>
        <v>595</v>
      </c>
      <c r="B596" s="6" t="str">
        <f t="shared" si="18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19"/>
        <v>596</v>
      </c>
      <c r="B597" s="6" t="str">
        <f t="shared" si="18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19"/>
        <v>597</v>
      </c>
      <c r="B598" s="6" t="str">
        <f t="shared" si="18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19"/>
        <v>598</v>
      </c>
      <c r="B599" s="6" t="str">
        <f t="shared" si="18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19"/>
        <v>599</v>
      </c>
      <c r="B600" s="6" t="str">
        <f t="shared" si="18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19"/>
        <v>600</v>
      </c>
      <c r="B601" s="6" t="str">
        <f t="shared" si="18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19"/>
        <v>601</v>
      </c>
      <c r="B602" s="6" t="str">
        <f t="shared" si="18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19"/>
        <v>602</v>
      </c>
      <c r="B603" s="6" t="str">
        <f t="shared" si="18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19"/>
        <v>603</v>
      </c>
      <c r="B604" s="6" t="str">
        <f t="shared" si="18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19"/>
        <v>604</v>
      </c>
      <c r="B605" s="6" t="str">
        <f t="shared" si="18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19"/>
        <v>605</v>
      </c>
      <c r="B606" s="6" t="str">
        <f t="shared" si="18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19"/>
        <v>606</v>
      </c>
      <c r="B607" s="6" t="str">
        <f t="shared" si="18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19"/>
        <v>607</v>
      </c>
      <c r="B608" s="6" t="str">
        <f t="shared" si="18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19"/>
        <v>608</v>
      </c>
      <c r="B609" s="6" t="str">
        <f t="shared" si="18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19"/>
        <v>609</v>
      </c>
      <c r="B610" s="6" t="str">
        <f t="shared" si="18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19"/>
        <v>610</v>
      </c>
      <c r="B611" s="6" t="str">
        <f t="shared" si="18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19"/>
        <v>611</v>
      </c>
      <c r="B612" s="6" t="str">
        <f t="shared" si="18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19"/>
        <v>612</v>
      </c>
      <c r="B613" s="6" t="str">
        <f t="shared" si="18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19"/>
        <v>613</v>
      </c>
      <c r="B614" s="6" t="str">
        <f t="shared" si="18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19"/>
        <v>614</v>
      </c>
      <c r="B615" s="6" t="str">
        <f t="shared" si="18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19"/>
        <v>615</v>
      </c>
      <c r="B616" s="6" t="str">
        <f t="shared" si="18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19"/>
        <v>616</v>
      </c>
      <c r="B617" s="6" t="str">
        <f t="shared" si="18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19"/>
        <v>617</v>
      </c>
      <c r="B618" s="6" t="str">
        <f t="shared" si="18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19"/>
        <v>618</v>
      </c>
      <c r="B619" s="6" t="str">
        <f t="shared" si="18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19"/>
        <v>619</v>
      </c>
      <c r="B620" s="6" t="str">
        <f t="shared" si="18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19"/>
        <v>620</v>
      </c>
      <c r="B621" s="6" t="str">
        <f t="shared" si="18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19"/>
        <v>621</v>
      </c>
      <c r="B622" s="6" t="str">
        <f t="shared" si="18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19"/>
        <v>622</v>
      </c>
      <c r="B623" s="6" t="str">
        <f t="shared" si="18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19"/>
        <v>623</v>
      </c>
      <c r="B624" s="6" t="str">
        <f t="shared" si="18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19"/>
        <v>624</v>
      </c>
      <c r="B625" s="6" t="str">
        <f t="shared" si="18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19"/>
        <v>625</v>
      </c>
      <c r="B626" s="6" t="str">
        <f t="shared" si="18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19"/>
        <v>626</v>
      </c>
      <c r="B627" s="6" t="str">
        <f t="shared" si="18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19"/>
        <v>627</v>
      </c>
      <c r="B628" s="6" t="str">
        <f t="shared" si="18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19"/>
        <v>628</v>
      </c>
      <c r="B629" s="6" t="str">
        <f t="shared" si="18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19"/>
        <v>629</v>
      </c>
      <c r="B630" s="6" t="str">
        <f t="shared" si="18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19"/>
        <v>630</v>
      </c>
      <c r="B631" s="6" t="str">
        <f t="shared" si="18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19"/>
        <v>631</v>
      </c>
      <c r="B632" s="6" t="str">
        <f t="shared" si="18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19"/>
        <v>632</v>
      </c>
      <c r="B633" s="6" t="str">
        <f t="shared" si="18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19"/>
        <v>633</v>
      </c>
      <c r="B634" s="6" t="str">
        <f t="shared" si="18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19"/>
        <v>634</v>
      </c>
      <c r="B635" s="6" t="str">
        <f t="shared" si="18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19"/>
        <v>635</v>
      </c>
      <c r="B636" s="6" t="str">
        <f t="shared" si="18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19"/>
        <v>636</v>
      </c>
      <c r="B637" s="6" t="str">
        <f t="shared" si="18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19"/>
        <v>637</v>
      </c>
      <c r="B638" s="6" t="str">
        <f t="shared" si="18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19"/>
        <v>638</v>
      </c>
      <c r="B639" s="6" t="str">
        <f t="shared" si="18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19"/>
        <v>639</v>
      </c>
      <c r="B640" s="6" t="str">
        <f t="shared" si="18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19"/>
        <v>640</v>
      </c>
      <c r="B641" s="6" t="str">
        <f t="shared" si="18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19"/>
        <v>641</v>
      </c>
      <c r="B642" s="6" t="str">
        <f t="shared" si="18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19"/>
        <v>642</v>
      </c>
      <c r="B643" s="6" t="str">
        <f t="shared" ref="B643:B706" si="20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1">A643+1</f>
        <v>643</v>
      </c>
      <c r="B644" s="6" t="str">
        <f t="shared" si="20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1"/>
        <v>644</v>
      </c>
      <c r="B645" s="6" t="str">
        <f t="shared" si="20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1"/>
        <v>645</v>
      </c>
      <c r="B646" s="6" t="str">
        <f t="shared" si="20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1"/>
        <v>646</v>
      </c>
      <c r="B647" s="6" t="str">
        <f t="shared" si="20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1"/>
        <v>647</v>
      </c>
      <c r="B648" s="6" t="str">
        <f t="shared" si="20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1"/>
        <v>648</v>
      </c>
      <c r="B649" s="6" t="str">
        <f t="shared" si="20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1"/>
        <v>649</v>
      </c>
      <c r="B650" s="6" t="str">
        <f t="shared" si="20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1"/>
        <v>650</v>
      </c>
      <c r="B651" s="6" t="str">
        <f t="shared" si="20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1"/>
        <v>651</v>
      </c>
      <c r="B652" s="6" t="str">
        <f t="shared" si="20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1"/>
        <v>652</v>
      </c>
      <c r="B653" s="6" t="str">
        <f t="shared" si="20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1"/>
        <v>653</v>
      </c>
      <c r="B654" s="6" t="str">
        <f t="shared" si="20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1"/>
        <v>654</v>
      </c>
      <c r="B655" s="6" t="str">
        <f t="shared" si="20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1"/>
        <v>655</v>
      </c>
      <c r="B656" s="6" t="str">
        <f t="shared" si="20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1"/>
        <v>656</v>
      </c>
      <c r="B657" s="6" t="str">
        <f t="shared" si="20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1"/>
        <v>657</v>
      </c>
      <c r="B658" s="6" t="str">
        <f t="shared" si="20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1"/>
        <v>658</v>
      </c>
      <c r="B659" s="6" t="str">
        <f t="shared" si="20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1"/>
        <v>659</v>
      </c>
      <c r="B660" s="6" t="str">
        <f t="shared" si="20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1"/>
        <v>660</v>
      </c>
      <c r="B661" s="6" t="str">
        <f t="shared" si="20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1"/>
        <v>661</v>
      </c>
      <c r="B662" s="6" t="str">
        <f t="shared" si="20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1"/>
        <v>662</v>
      </c>
      <c r="B663" s="6" t="str">
        <f t="shared" si="20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1"/>
        <v>663</v>
      </c>
      <c r="B664" s="6" t="str">
        <f t="shared" si="20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1"/>
        <v>664</v>
      </c>
      <c r="B665" s="6" t="str">
        <f t="shared" si="20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1"/>
        <v>665</v>
      </c>
      <c r="B666" s="6" t="str">
        <f t="shared" si="20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1"/>
        <v>666</v>
      </c>
      <c r="B667" s="6" t="str">
        <f t="shared" si="20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1"/>
        <v>667</v>
      </c>
      <c r="B668" s="6" t="str">
        <f t="shared" si="20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1"/>
        <v>668</v>
      </c>
      <c r="B669" s="6" t="str">
        <f t="shared" si="20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1"/>
        <v>669</v>
      </c>
      <c r="B670" s="6" t="str">
        <f t="shared" si="20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1"/>
        <v>670</v>
      </c>
      <c r="B671" s="6" t="str">
        <f t="shared" si="20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1"/>
        <v>671</v>
      </c>
      <c r="B672" s="6" t="str">
        <f t="shared" si="20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1"/>
        <v>672</v>
      </c>
      <c r="B673" s="6" t="str">
        <f t="shared" si="20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1"/>
        <v>673</v>
      </c>
      <c r="B674" s="6" t="str">
        <f t="shared" si="20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1"/>
        <v>674</v>
      </c>
      <c r="B675" s="6" t="str">
        <f t="shared" si="20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1"/>
        <v>675</v>
      </c>
      <c r="B676" s="6" t="str">
        <f t="shared" si="20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1"/>
        <v>676</v>
      </c>
      <c r="B677" s="6" t="str">
        <f t="shared" si="20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1"/>
        <v>677</v>
      </c>
      <c r="B678" s="6" t="str">
        <f t="shared" si="20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1"/>
        <v>678</v>
      </c>
      <c r="B679" s="6" t="str">
        <f t="shared" si="20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1"/>
        <v>679</v>
      </c>
      <c r="B680" s="6" t="str">
        <f t="shared" si="20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1"/>
        <v>680</v>
      </c>
      <c r="B681" s="6" t="str">
        <f t="shared" si="20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1"/>
        <v>681</v>
      </c>
      <c r="B682" s="6" t="str">
        <f t="shared" si="20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1"/>
        <v>682</v>
      </c>
      <c r="B683" s="6" t="str">
        <f t="shared" si="20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1"/>
        <v>683</v>
      </c>
      <c r="B684" s="6" t="str">
        <f t="shared" si="20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1"/>
        <v>684</v>
      </c>
      <c r="B685" s="6" t="str">
        <f t="shared" si="20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1"/>
        <v>685</v>
      </c>
      <c r="B686" s="6" t="str">
        <f t="shared" si="20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1"/>
        <v>686</v>
      </c>
      <c r="B687" s="6" t="str">
        <f t="shared" si="20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1"/>
        <v>687</v>
      </c>
      <c r="B688" s="6" t="str">
        <f t="shared" si="20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1"/>
        <v>688</v>
      </c>
      <c r="B689" s="6" t="str">
        <f t="shared" si="20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1"/>
        <v>689</v>
      </c>
      <c r="B690" s="6" t="str">
        <f t="shared" si="20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1"/>
        <v>690</v>
      </c>
      <c r="B691" s="6" t="str">
        <f t="shared" si="20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1"/>
        <v>691</v>
      </c>
      <c r="B692" s="6" t="str">
        <f t="shared" si="20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1"/>
        <v>692</v>
      </c>
      <c r="B693" s="6" t="str">
        <f t="shared" si="20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1"/>
        <v>693</v>
      </c>
      <c r="B694" s="6" t="str">
        <f t="shared" si="20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1"/>
        <v>694</v>
      </c>
      <c r="B695" s="6" t="str">
        <f t="shared" si="20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1"/>
        <v>695</v>
      </c>
      <c r="B696" s="6" t="str">
        <f t="shared" si="20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1"/>
        <v>696</v>
      </c>
      <c r="B697" s="6" t="str">
        <f t="shared" si="20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1"/>
        <v>697</v>
      </c>
      <c r="B698" s="6" t="str">
        <f t="shared" si="20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1"/>
        <v>698</v>
      </c>
      <c r="B699" s="6" t="str">
        <f t="shared" si="20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1"/>
        <v>699</v>
      </c>
      <c r="B700" s="6" t="str">
        <f t="shared" si="20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1"/>
        <v>700</v>
      </c>
      <c r="B701" s="6" t="str">
        <f t="shared" si="20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1"/>
        <v>701</v>
      </c>
      <c r="B702" s="6" t="str">
        <f t="shared" si="20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1"/>
        <v>702</v>
      </c>
      <c r="B703" s="6" t="str">
        <f t="shared" si="20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1"/>
        <v>703</v>
      </c>
      <c r="B704" s="6" t="str">
        <f t="shared" si="20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1"/>
        <v>704</v>
      </c>
      <c r="B705" s="6" t="str">
        <f t="shared" si="20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1"/>
        <v>705</v>
      </c>
      <c r="B706" s="6" t="str">
        <f t="shared" si="20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1"/>
        <v>706</v>
      </c>
      <c r="B707" s="6" t="str">
        <f t="shared" ref="B707:B770" si="22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3">A707+1</f>
        <v>707</v>
      </c>
      <c r="B708" s="6" t="str">
        <f t="shared" si="22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3"/>
        <v>708</v>
      </c>
      <c r="B709" s="6" t="str">
        <f t="shared" si="22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3"/>
        <v>709</v>
      </c>
      <c r="B710" s="6" t="str">
        <f t="shared" si="22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3"/>
        <v>710</v>
      </c>
      <c r="B711" s="6" t="str">
        <f t="shared" si="22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3"/>
        <v>711</v>
      </c>
      <c r="B712" s="6" t="str">
        <f t="shared" si="22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3"/>
        <v>712</v>
      </c>
      <c r="B713" s="6" t="str">
        <f t="shared" si="22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3"/>
        <v>713</v>
      </c>
      <c r="B714" s="6" t="str">
        <f t="shared" si="22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3"/>
        <v>714</v>
      </c>
      <c r="B715" s="6" t="str">
        <f t="shared" si="22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3"/>
        <v>715</v>
      </c>
      <c r="B716" s="6" t="str">
        <f t="shared" si="22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3"/>
        <v>716</v>
      </c>
      <c r="B717" s="6" t="str">
        <f t="shared" si="22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3"/>
        <v>717</v>
      </c>
      <c r="B718" s="6" t="str">
        <f t="shared" si="22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3"/>
        <v>718</v>
      </c>
      <c r="B719" s="6" t="str">
        <f t="shared" si="22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3"/>
        <v>719</v>
      </c>
      <c r="B720" s="6" t="str">
        <f t="shared" si="22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3"/>
        <v>720</v>
      </c>
      <c r="B721" s="6" t="str">
        <f t="shared" si="22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3"/>
        <v>721</v>
      </c>
      <c r="B722" s="6" t="str">
        <f t="shared" si="22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3"/>
        <v>722</v>
      </c>
      <c r="B723" s="6" t="str">
        <f t="shared" si="22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3"/>
        <v>723</v>
      </c>
      <c r="B724" s="6" t="str">
        <f t="shared" si="22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3"/>
        <v>724</v>
      </c>
      <c r="B725" s="6" t="str">
        <f t="shared" si="22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3"/>
        <v>725</v>
      </c>
      <c r="B726" s="6" t="str">
        <f t="shared" si="22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3"/>
        <v>726</v>
      </c>
      <c r="B727" s="6" t="str">
        <f t="shared" si="22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3"/>
        <v>727</v>
      </c>
      <c r="B728" s="6" t="str">
        <f t="shared" si="22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3"/>
        <v>728</v>
      </c>
      <c r="B729" s="6" t="str">
        <f t="shared" si="22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3"/>
        <v>729</v>
      </c>
      <c r="B730" s="6" t="str">
        <f t="shared" si="22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3"/>
        <v>730</v>
      </c>
      <c r="B731" s="6" t="str">
        <f t="shared" si="22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3"/>
        <v>731</v>
      </c>
      <c r="B732" s="6" t="str">
        <f t="shared" si="22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3"/>
        <v>732</v>
      </c>
      <c r="B733" s="6" t="str">
        <f t="shared" si="22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3"/>
        <v>733</v>
      </c>
      <c r="B734" s="6" t="str">
        <f t="shared" si="22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3"/>
        <v>734</v>
      </c>
      <c r="B735" s="6" t="str">
        <f t="shared" si="22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3"/>
        <v>735</v>
      </c>
      <c r="B736" s="6" t="str">
        <f t="shared" si="22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3"/>
        <v>736</v>
      </c>
      <c r="B737" s="6" t="str">
        <f t="shared" si="22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3"/>
        <v>737</v>
      </c>
      <c r="B738" s="6" t="str">
        <f t="shared" si="22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3"/>
        <v>738</v>
      </c>
      <c r="B739" s="6" t="str">
        <f t="shared" si="22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3"/>
        <v>739</v>
      </c>
      <c r="B740" s="6" t="str">
        <f t="shared" si="22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3"/>
        <v>740</v>
      </c>
      <c r="B741" s="6" t="str">
        <f t="shared" si="22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3"/>
        <v>741</v>
      </c>
      <c r="B742" s="6" t="str">
        <f t="shared" si="22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3"/>
        <v>742</v>
      </c>
      <c r="B743" s="6" t="str">
        <f t="shared" si="22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3"/>
        <v>743</v>
      </c>
      <c r="B744" s="6" t="str">
        <f t="shared" si="22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3"/>
        <v>744</v>
      </c>
      <c r="B745" s="6" t="str">
        <f t="shared" si="22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3"/>
        <v>745</v>
      </c>
      <c r="B746" s="6" t="str">
        <f t="shared" si="22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3"/>
        <v>746</v>
      </c>
      <c r="B747" s="6" t="str">
        <f t="shared" si="22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3"/>
        <v>747</v>
      </c>
      <c r="B748" s="6" t="str">
        <f t="shared" si="22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3"/>
        <v>748</v>
      </c>
      <c r="B749" s="6" t="str">
        <f t="shared" si="22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3"/>
        <v>749</v>
      </c>
      <c r="B750" s="6" t="str">
        <f t="shared" si="22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3"/>
        <v>750</v>
      </c>
      <c r="B751" s="6" t="str">
        <f t="shared" si="22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3"/>
        <v>751</v>
      </c>
      <c r="B752" s="6" t="str">
        <f t="shared" si="22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3"/>
        <v>752</v>
      </c>
      <c r="B753" s="6" t="str">
        <f t="shared" si="22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3"/>
        <v>753</v>
      </c>
      <c r="B754" s="6" t="str">
        <f t="shared" si="22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3"/>
        <v>754</v>
      </c>
      <c r="B755" s="6" t="str">
        <f t="shared" si="22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3"/>
        <v>755</v>
      </c>
      <c r="B756" s="6" t="str">
        <f t="shared" si="22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3"/>
        <v>756</v>
      </c>
      <c r="B757" s="6" t="str">
        <f t="shared" si="22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3"/>
        <v>757</v>
      </c>
      <c r="B758" s="6" t="str">
        <f t="shared" si="22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3"/>
        <v>758</v>
      </c>
      <c r="B759" s="6" t="str">
        <f t="shared" si="22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3"/>
        <v>759</v>
      </c>
      <c r="B760" s="6" t="str">
        <f t="shared" si="22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3"/>
        <v>760</v>
      </c>
      <c r="B761" s="6" t="str">
        <f t="shared" si="22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3"/>
        <v>761</v>
      </c>
      <c r="B762" s="6" t="str">
        <f t="shared" si="22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3"/>
        <v>762</v>
      </c>
      <c r="B763" s="6" t="str">
        <f t="shared" si="22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3"/>
        <v>763</v>
      </c>
      <c r="B764" s="6" t="str">
        <f t="shared" si="22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3"/>
        <v>764</v>
      </c>
      <c r="B765" s="6" t="str">
        <f t="shared" si="22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3"/>
        <v>765</v>
      </c>
      <c r="B766" s="6" t="str">
        <f t="shared" si="22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3"/>
        <v>766</v>
      </c>
      <c r="B767" s="6" t="str">
        <f t="shared" si="22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3"/>
        <v>767</v>
      </c>
      <c r="B768" s="6" t="str">
        <f t="shared" si="22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3"/>
        <v>768</v>
      </c>
      <c r="B769" s="6" t="str">
        <f t="shared" si="22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3"/>
        <v>769</v>
      </c>
      <c r="B770" s="6" t="str">
        <f t="shared" si="22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3"/>
        <v>770</v>
      </c>
      <c r="B771" s="6" t="str">
        <f t="shared" ref="B771:B834" si="24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25">A771+1</f>
        <v>771</v>
      </c>
      <c r="B772" s="6" t="str">
        <f t="shared" si="24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25"/>
        <v>772</v>
      </c>
      <c r="B773" s="6" t="str">
        <f t="shared" si="24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25"/>
        <v>773</v>
      </c>
      <c r="B774" s="6" t="str">
        <f t="shared" si="24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25"/>
        <v>774</v>
      </c>
      <c r="B775" s="6" t="str">
        <f t="shared" si="24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25"/>
        <v>775</v>
      </c>
      <c r="B776" s="6" t="str">
        <f t="shared" si="24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25"/>
        <v>776</v>
      </c>
      <c r="B777" s="6" t="str">
        <f t="shared" si="24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25"/>
        <v>777</v>
      </c>
      <c r="B778" s="6" t="str">
        <f t="shared" si="24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25"/>
        <v>778</v>
      </c>
      <c r="B779" s="6" t="str">
        <f t="shared" si="24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25"/>
        <v>779</v>
      </c>
      <c r="B780" s="6" t="str">
        <f t="shared" si="24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25"/>
        <v>780</v>
      </c>
      <c r="B781" s="6" t="str">
        <f t="shared" si="24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25"/>
        <v>781</v>
      </c>
      <c r="B782" s="6" t="str">
        <f t="shared" si="24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25"/>
        <v>782</v>
      </c>
      <c r="B783" s="6" t="str">
        <f t="shared" si="24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25"/>
        <v>783</v>
      </c>
      <c r="B784" s="6" t="str">
        <f t="shared" si="24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25"/>
        <v>784</v>
      </c>
      <c r="B785" s="6" t="str">
        <f t="shared" si="24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25"/>
        <v>785</v>
      </c>
      <c r="B786" s="6" t="str">
        <f t="shared" si="24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25"/>
        <v>786</v>
      </c>
      <c r="B787" s="6" t="str">
        <f t="shared" si="24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25"/>
        <v>787</v>
      </c>
      <c r="B788" s="6" t="str">
        <f t="shared" si="24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25"/>
        <v>788</v>
      </c>
      <c r="B789" s="6" t="str">
        <f t="shared" si="24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25"/>
        <v>789</v>
      </c>
      <c r="B790" s="6" t="str">
        <f t="shared" si="24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25"/>
        <v>790</v>
      </c>
      <c r="B791" s="6" t="str">
        <f t="shared" si="24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25"/>
        <v>791</v>
      </c>
      <c r="B792" s="6" t="str">
        <f t="shared" si="24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25"/>
        <v>792</v>
      </c>
      <c r="B793" s="6" t="str">
        <f t="shared" si="24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25"/>
        <v>793</v>
      </c>
      <c r="B794" s="6" t="str">
        <f t="shared" si="24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25"/>
        <v>794</v>
      </c>
      <c r="B795" s="6" t="str">
        <f t="shared" si="24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25"/>
        <v>795</v>
      </c>
      <c r="B796" s="6" t="str">
        <f t="shared" si="24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25"/>
        <v>796</v>
      </c>
      <c r="B797" s="6" t="str">
        <f t="shared" si="24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25"/>
        <v>797</v>
      </c>
      <c r="B798" s="6" t="str">
        <f t="shared" si="24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25"/>
        <v>798</v>
      </c>
      <c r="B799" s="6" t="str">
        <f t="shared" si="24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25"/>
        <v>799</v>
      </c>
      <c r="B800" s="6" t="str">
        <f t="shared" si="24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25"/>
        <v>800</v>
      </c>
      <c r="B801" s="6" t="str">
        <f t="shared" si="24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25"/>
        <v>801</v>
      </c>
      <c r="B802" s="6" t="str">
        <f t="shared" si="24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25"/>
        <v>802</v>
      </c>
      <c r="B803" s="6" t="str">
        <f t="shared" si="24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25"/>
        <v>803</v>
      </c>
      <c r="B804" s="6" t="str">
        <f t="shared" si="24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25"/>
        <v>804</v>
      </c>
      <c r="B805" s="6" t="str">
        <f t="shared" si="24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25"/>
        <v>805</v>
      </c>
      <c r="B806" s="6" t="str">
        <f t="shared" si="24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25"/>
        <v>806</v>
      </c>
      <c r="B807" s="6" t="str">
        <f t="shared" si="24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25"/>
        <v>807</v>
      </c>
      <c r="B808" s="6" t="str">
        <f t="shared" si="24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25"/>
        <v>808</v>
      </c>
      <c r="B809" s="6" t="str">
        <f t="shared" si="24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25"/>
        <v>809</v>
      </c>
      <c r="B810" s="6" t="str">
        <f t="shared" si="24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25"/>
        <v>810</v>
      </c>
      <c r="B811" s="6" t="str">
        <f t="shared" si="24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25"/>
        <v>811</v>
      </c>
      <c r="B812" s="6" t="str">
        <f t="shared" si="24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25"/>
        <v>812</v>
      </c>
      <c r="B813" s="6" t="str">
        <f t="shared" si="24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25"/>
        <v>813</v>
      </c>
      <c r="B814" s="6" t="str">
        <f t="shared" si="24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25"/>
        <v>814</v>
      </c>
      <c r="B815" s="6" t="str">
        <f t="shared" si="24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25"/>
        <v>815</v>
      </c>
      <c r="B816" s="6" t="str">
        <f t="shared" si="24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25"/>
        <v>816</v>
      </c>
      <c r="B817" s="6" t="str">
        <f t="shared" si="24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25"/>
        <v>817</v>
      </c>
      <c r="B818" s="6" t="str">
        <f t="shared" si="24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25"/>
        <v>818</v>
      </c>
      <c r="B819" s="6" t="str">
        <f t="shared" si="24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25"/>
        <v>819</v>
      </c>
      <c r="B820" s="6" t="str">
        <f t="shared" si="24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25"/>
        <v>820</v>
      </c>
      <c r="B821" s="6" t="str">
        <f t="shared" si="24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25"/>
        <v>821</v>
      </c>
      <c r="B822" s="6" t="str">
        <f t="shared" si="24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25"/>
        <v>822</v>
      </c>
      <c r="B823" s="6" t="str">
        <f t="shared" si="24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25"/>
        <v>823</v>
      </c>
      <c r="B824" s="6" t="str">
        <f t="shared" si="24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25"/>
        <v>824</v>
      </c>
      <c r="B825" s="6" t="str">
        <f t="shared" si="24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25"/>
        <v>825</v>
      </c>
      <c r="B826" s="6" t="str">
        <f t="shared" si="24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25"/>
        <v>826</v>
      </c>
      <c r="B827" s="6" t="str">
        <f t="shared" si="24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25"/>
        <v>827</v>
      </c>
      <c r="B828" s="6" t="str">
        <f t="shared" si="24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25"/>
        <v>828</v>
      </c>
      <c r="B829" s="6" t="str">
        <f t="shared" si="24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25"/>
        <v>829</v>
      </c>
      <c r="B830" s="6" t="str">
        <f t="shared" si="24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25"/>
        <v>830</v>
      </c>
      <c r="B831" s="6" t="str">
        <f t="shared" si="24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25"/>
        <v>831</v>
      </c>
      <c r="B832" s="6" t="str">
        <f t="shared" si="24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25"/>
        <v>832</v>
      </c>
      <c r="B833" s="6" t="str">
        <f t="shared" si="24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25"/>
        <v>833</v>
      </c>
      <c r="B834" s="6" t="str">
        <f t="shared" si="24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25"/>
        <v>834</v>
      </c>
      <c r="B835" s="6" t="str">
        <f t="shared" ref="B835:B898" si="26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27">A835+1</f>
        <v>835</v>
      </c>
      <c r="B836" s="6" t="str">
        <f t="shared" si="26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27"/>
        <v>836</v>
      </c>
      <c r="B837" s="6" t="str">
        <f t="shared" si="26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27"/>
        <v>837</v>
      </c>
      <c r="B838" s="6" t="str">
        <f t="shared" si="26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27"/>
        <v>838</v>
      </c>
      <c r="B839" s="6" t="str">
        <f t="shared" si="26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27"/>
        <v>839</v>
      </c>
      <c r="B840" s="6" t="str">
        <f t="shared" si="26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27"/>
        <v>840</v>
      </c>
      <c r="B841" s="6" t="str">
        <f t="shared" si="26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27"/>
        <v>841</v>
      </c>
      <c r="B842" s="6" t="str">
        <f t="shared" si="26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27"/>
        <v>842</v>
      </c>
      <c r="B843" s="6" t="str">
        <f t="shared" si="26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27"/>
        <v>843</v>
      </c>
      <c r="B844" s="6" t="str">
        <f t="shared" si="26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27"/>
        <v>844</v>
      </c>
      <c r="B845" s="6" t="str">
        <f t="shared" si="26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27"/>
        <v>845</v>
      </c>
      <c r="B846" s="6" t="str">
        <f t="shared" si="26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27"/>
        <v>846</v>
      </c>
      <c r="B847" s="6" t="str">
        <f t="shared" si="26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27"/>
        <v>847</v>
      </c>
      <c r="B848" s="6" t="str">
        <f t="shared" si="26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27"/>
        <v>848</v>
      </c>
      <c r="B849" s="6" t="str">
        <f t="shared" si="26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27"/>
        <v>849</v>
      </c>
      <c r="B850" s="6" t="str">
        <f t="shared" si="26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27"/>
        <v>850</v>
      </c>
      <c r="B851" s="6" t="str">
        <f t="shared" si="26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27"/>
        <v>851</v>
      </c>
      <c r="B852" s="6" t="str">
        <f t="shared" si="26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27"/>
        <v>852</v>
      </c>
      <c r="B853" s="6" t="str">
        <f t="shared" si="26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27"/>
        <v>853</v>
      </c>
      <c r="B854" s="6" t="str">
        <f t="shared" si="26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27"/>
        <v>854</v>
      </c>
      <c r="B855" s="6" t="str">
        <f t="shared" si="26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27"/>
        <v>855</v>
      </c>
      <c r="B856" s="6" t="str">
        <f t="shared" si="26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27"/>
        <v>856</v>
      </c>
      <c r="B857" s="6" t="str">
        <f t="shared" si="26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27"/>
        <v>857</v>
      </c>
      <c r="B858" s="6" t="str">
        <f t="shared" si="26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27"/>
        <v>858</v>
      </c>
      <c r="B859" s="6" t="str">
        <f t="shared" si="26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27"/>
        <v>859</v>
      </c>
      <c r="B860" s="6" t="str">
        <f t="shared" si="26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27"/>
        <v>860</v>
      </c>
      <c r="B861" s="6" t="str">
        <f t="shared" si="26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27"/>
        <v>861</v>
      </c>
      <c r="B862" s="6" t="str">
        <f t="shared" si="26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27"/>
        <v>862</v>
      </c>
      <c r="B863" s="6" t="str">
        <f t="shared" si="26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27"/>
        <v>863</v>
      </c>
      <c r="B864" s="6" t="str">
        <f t="shared" si="26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27"/>
        <v>864</v>
      </c>
      <c r="B865" s="6" t="str">
        <f t="shared" si="26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27"/>
        <v>865</v>
      </c>
      <c r="B866" s="6" t="str">
        <f t="shared" si="26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27"/>
        <v>866</v>
      </c>
      <c r="B867" s="6" t="str">
        <f t="shared" si="26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27"/>
        <v>867</v>
      </c>
      <c r="B868" s="6" t="str">
        <f t="shared" si="26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27"/>
        <v>868</v>
      </c>
      <c r="B869" s="6" t="str">
        <f t="shared" si="26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27"/>
        <v>869</v>
      </c>
      <c r="B870" s="6" t="str">
        <f t="shared" si="26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27"/>
        <v>870</v>
      </c>
      <c r="B871" s="6" t="str">
        <f t="shared" si="26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27"/>
        <v>871</v>
      </c>
      <c r="B872" s="6" t="str">
        <f t="shared" si="26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27"/>
        <v>872</v>
      </c>
      <c r="B873" s="6" t="str">
        <f t="shared" si="26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27"/>
        <v>873</v>
      </c>
      <c r="B874" s="6" t="str">
        <f t="shared" si="26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27"/>
        <v>874</v>
      </c>
      <c r="B875" s="6" t="str">
        <f t="shared" si="26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27"/>
        <v>875</v>
      </c>
      <c r="B876" s="6" t="str">
        <f t="shared" si="26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27"/>
        <v>876</v>
      </c>
      <c r="B877" s="6" t="str">
        <f t="shared" si="26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27"/>
        <v>877</v>
      </c>
      <c r="B878" s="6" t="str">
        <f t="shared" si="26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27"/>
        <v>878</v>
      </c>
      <c r="B879" s="6" t="str">
        <f t="shared" si="26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27"/>
        <v>879</v>
      </c>
      <c r="B880" s="6" t="str">
        <f t="shared" si="26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27"/>
        <v>880</v>
      </c>
      <c r="B881" s="6" t="str">
        <f t="shared" si="26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27"/>
        <v>881</v>
      </c>
      <c r="B882" s="6" t="str">
        <f t="shared" si="26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27"/>
        <v>882</v>
      </c>
      <c r="B883" s="6" t="str">
        <f t="shared" si="26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27"/>
        <v>883</v>
      </c>
      <c r="B884" s="6" t="str">
        <f t="shared" si="26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27"/>
        <v>884</v>
      </c>
      <c r="B885" s="6" t="str">
        <f t="shared" si="26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27"/>
        <v>885</v>
      </c>
      <c r="B886" s="6" t="str">
        <f t="shared" si="26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27"/>
        <v>886</v>
      </c>
      <c r="B887" s="6" t="str">
        <f t="shared" si="26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27"/>
        <v>887</v>
      </c>
      <c r="B888" s="6" t="str">
        <f t="shared" si="26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27"/>
        <v>888</v>
      </c>
      <c r="B889" s="6" t="str">
        <f t="shared" si="26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27"/>
        <v>889</v>
      </c>
      <c r="B890" s="6" t="str">
        <f t="shared" si="26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27"/>
        <v>890</v>
      </c>
      <c r="B891" s="6" t="str">
        <f t="shared" si="26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27"/>
        <v>891</v>
      </c>
      <c r="B892" s="6" t="str">
        <f t="shared" si="26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27"/>
        <v>892</v>
      </c>
      <c r="B893" s="6" t="str">
        <f t="shared" si="26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27"/>
        <v>893</v>
      </c>
      <c r="B894" s="6" t="str">
        <f t="shared" si="26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27"/>
        <v>894</v>
      </c>
      <c r="B895" s="6" t="str">
        <f t="shared" si="26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27"/>
        <v>895</v>
      </c>
      <c r="B896" s="6" t="str">
        <f t="shared" si="26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27"/>
        <v>896</v>
      </c>
      <c r="B897" s="6" t="str">
        <f t="shared" si="26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27"/>
        <v>897</v>
      </c>
      <c r="B898" s="6" t="str">
        <f t="shared" si="26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27"/>
        <v>898</v>
      </c>
      <c r="B899" s="6" t="str">
        <f t="shared" ref="B899:B962" si="28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29">A899+1</f>
        <v>899</v>
      </c>
      <c r="B900" s="6" t="str">
        <f t="shared" si="28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29"/>
        <v>900</v>
      </c>
      <c r="B901" s="6" t="str">
        <f t="shared" si="28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29"/>
        <v>901</v>
      </c>
      <c r="B902" s="6" t="str">
        <f t="shared" si="28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29"/>
        <v>902</v>
      </c>
      <c r="B903" s="6" t="str">
        <f t="shared" si="28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29"/>
        <v>903</v>
      </c>
      <c r="B904" s="6" t="str">
        <f t="shared" si="28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29"/>
        <v>904</v>
      </c>
      <c r="B905" s="6" t="str">
        <f t="shared" si="28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29"/>
        <v>905</v>
      </c>
      <c r="B906" s="6" t="str">
        <f t="shared" si="28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29"/>
        <v>906</v>
      </c>
      <c r="B907" s="6" t="str">
        <f t="shared" si="28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29"/>
        <v>907</v>
      </c>
      <c r="B908" s="6" t="str">
        <f t="shared" si="28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29"/>
        <v>908</v>
      </c>
      <c r="B909" s="6" t="str">
        <f t="shared" si="28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29"/>
        <v>909</v>
      </c>
      <c r="B910" s="6" t="str">
        <f t="shared" si="28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29"/>
        <v>910</v>
      </c>
      <c r="B911" s="6" t="str">
        <f t="shared" si="28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29"/>
        <v>911</v>
      </c>
      <c r="B912" s="6" t="str">
        <f t="shared" si="28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29"/>
        <v>912</v>
      </c>
      <c r="B913" s="6" t="str">
        <f t="shared" si="28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29"/>
        <v>913</v>
      </c>
      <c r="B914" s="6" t="str">
        <f t="shared" si="28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29"/>
        <v>914</v>
      </c>
      <c r="B915" s="6" t="str">
        <f t="shared" si="28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29"/>
        <v>915</v>
      </c>
      <c r="B916" s="6" t="str">
        <f t="shared" si="28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29"/>
        <v>916</v>
      </c>
      <c r="B917" s="6" t="str">
        <f t="shared" si="28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29"/>
        <v>917</v>
      </c>
      <c r="B918" s="6" t="str">
        <f t="shared" si="28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29"/>
        <v>918</v>
      </c>
      <c r="B919" s="6" t="str">
        <f t="shared" si="28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29"/>
        <v>919</v>
      </c>
      <c r="B920" s="6" t="str">
        <f t="shared" si="28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29"/>
        <v>920</v>
      </c>
      <c r="B921" s="6" t="str">
        <f t="shared" si="28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29"/>
        <v>921</v>
      </c>
      <c r="B922" s="6" t="str">
        <f t="shared" si="28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29"/>
        <v>922</v>
      </c>
      <c r="B923" s="6" t="str">
        <f t="shared" si="28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29"/>
        <v>923</v>
      </c>
      <c r="B924" s="6" t="str">
        <f t="shared" si="28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29"/>
        <v>924</v>
      </c>
      <c r="B925" s="6" t="str">
        <f t="shared" si="28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29"/>
        <v>925</v>
      </c>
      <c r="B926" s="6" t="str">
        <f t="shared" si="28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29"/>
        <v>926</v>
      </c>
      <c r="B927" s="6" t="str">
        <f t="shared" si="28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29"/>
        <v>927</v>
      </c>
      <c r="B928" s="6" t="str">
        <f t="shared" si="28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29"/>
        <v>928</v>
      </c>
      <c r="B929" s="6" t="str">
        <f t="shared" si="28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29"/>
        <v>929</v>
      </c>
      <c r="B930" s="6" t="str">
        <f t="shared" si="28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29"/>
        <v>930</v>
      </c>
      <c r="B931" s="6" t="str">
        <f t="shared" si="28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29"/>
        <v>931</v>
      </c>
      <c r="B932" s="6" t="str">
        <f t="shared" si="28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29"/>
        <v>932</v>
      </c>
      <c r="B933" s="6" t="str">
        <f t="shared" si="28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29"/>
        <v>933</v>
      </c>
      <c r="B934" s="6" t="str">
        <f t="shared" si="28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29"/>
        <v>934</v>
      </c>
      <c r="B935" s="6" t="str">
        <f t="shared" si="28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29"/>
        <v>935</v>
      </c>
      <c r="B936" s="6" t="str">
        <f t="shared" si="28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29"/>
        <v>936</v>
      </c>
      <c r="B937" s="6" t="str">
        <f t="shared" si="28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29"/>
        <v>937</v>
      </c>
      <c r="B938" s="6" t="str">
        <f t="shared" si="28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29"/>
        <v>938</v>
      </c>
      <c r="B939" s="6" t="str">
        <f t="shared" si="28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29"/>
        <v>939</v>
      </c>
      <c r="B940" s="6" t="str">
        <f t="shared" si="28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29"/>
        <v>940</v>
      </c>
      <c r="B941" s="6" t="str">
        <f t="shared" si="28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29"/>
        <v>941</v>
      </c>
      <c r="B942" s="6" t="str">
        <f t="shared" si="28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29"/>
        <v>942</v>
      </c>
      <c r="B943" s="6" t="str">
        <f t="shared" si="28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29"/>
        <v>943</v>
      </c>
      <c r="B944" s="6" t="str">
        <f t="shared" si="28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29"/>
        <v>944</v>
      </c>
      <c r="B945" s="6" t="str">
        <f t="shared" si="28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29"/>
        <v>945</v>
      </c>
      <c r="B946" s="6" t="str">
        <f t="shared" si="28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29"/>
        <v>946</v>
      </c>
      <c r="B947" s="6" t="str">
        <f t="shared" si="28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29"/>
        <v>947</v>
      </c>
      <c r="B948" s="6" t="str">
        <f t="shared" si="28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29"/>
        <v>948</v>
      </c>
      <c r="B949" s="6" t="str">
        <f t="shared" si="28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29"/>
        <v>949</v>
      </c>
      <c r="B950" s="6" t="str">
        <f t="shared" si="28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29"/>
        <v>950</v>
      </c>
      <c r="B951" s="6" t="str">
        <f t="shared" si="28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29"/>
        <v>951</v>
      </c>
      <c r="B952" s="6" t="str">
        <f t="shared" si="28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29"/>
        <v>952</v>
      </c>
      <c r="B953" s="6" t="str">
        <f t="shared" si="28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29"/>
        <v>953</v>
      </c>
      <c r="B954" s="6" t="str">
        <f t="shared" si="28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29"/>
        <v>954</v>
      </c>
      <c r="B955" s="6" t="str">
        <f t="shared" si="28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29"/>
        <v>955</v>
      </c>
      <c r="B956" s="6" t="str">
        <f t="shared" si="28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29"/>
        <v>956</v>
      </c>
      <c r="B957" s="6" t="str">
        <f t="shared" si="28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29"/>
        <v>957</v>
      </c>
      <c r="B958" s="6" t="str">
        <f t="shared" si="28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29"/>
        <v>958</v>
      </c>
      <c r="B959" s="6" t="str">
        <f t="shared" si="28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29"/>
        <v>959</v>
      </c>
      <c r="B960" s="6" t="str">
        <f t="shared" si="28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29"/>
        <v>960</v>
      </c>
      <c r="B961" s="6" t="str">
        <f t="shared" si="28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29"/>
        <v>961</v>
      </c>
      <c r="B962" s="6" t="str">
        <f t="shared" si="28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29"/>
        <v>962</v>
      </c>
      <c r="B963" s="6" t="str">
        <f t="shared" ref="B963:B1001" si="30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1">A963+1</f>
        <v>963</v>
      </c>
      <c r="B964" s="6" t="str">
        <f t="shared" si="30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1"/>
        <v>964</v>
      </c>
      <c r="B965" s="6" t="str">
        <f t="shared" si="30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1"/>
        <v>965</v>
      </c>
      <c r="B966" s="6" t="str">
        <f t="shared" si="30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1"/>
        <v>966</v>
      </c>
      <c r="B967" s="6" t="str">
        <f t="shared" si="30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1"/>
        <v>967</v>
      </c>
      <c r="B968" s="6" t="str">
        <f t="shared" si="30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1"/>
        <v>968</v>
      </c>
      <c r="B969" s="6" t="str">
        <f t="shared" si="30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1"/>
        <v>969</v>
      </c>
      <c r="B970" s="6" t="str">
        <f t="shared" si="30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1"/>
        <v>970</v>
      </c>
      <c r="B971" s="6" t="str">
        <f t="shared" si="30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1"/>
        <v>971</v>
      </c>
      <c r="B972" s="6" t="str">
        <f t="shared" si="30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1"/>
        <v>972</v>
      </c>
      <c r="B973" s="6" t="str">
        <f t="shared" si="30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1"/>
        <v>973</v>
      </c>
      <c r="B974" s="6" t="str">
        <f t="shared" si="30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1"/>
        <v>974</v>
      </c>
      <c r="B975" s="6" t="str">
        <f t="shared" si="30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1"/>
        <v>975</v>
      </c>
      <c r="B976" s="6" t="str">
        <f t="shared" si="30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1"/>
        <v>976</v>
      </c>
      <c r="B977" s="6" t="str">
        <f t="shared" si="30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1"/>
        <v>977</v>
      </c>
      <c r="B978" s="6" t="str">
        <f t="shared" si="30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1"/>
        <v>978</v>
      </c>
      <c r="B979" s="6" t="str">
        <f t="shared" si="30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1"/>
        <v>979</v>
      </c>
      <c r="B980" s="6" t="str">
        <f t="shared" si="30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1"/>
        <v>980</v>
      </c>
      <c r="B981" s="6" t="str">
        <f t="shared" si="30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1"/>
        <v>981</v>
      </c>
      <c r="B982" s="6" t="str">
        <f t="shared" si="30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1"/>
        <v>982</v>
      </c>
      <c r="B983" s="6" t="str">
        <f t="shared" si="30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1"/>
        <v>983</v>
      </c>
      <c r="B984" s="6" t="str">
        <f t="shared" si="30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1"/>
        <v>984</v>
      </c>
      <c r="B985" s="6" t="str">
        <f t="shared" si="30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1"/>
        <v>985</v>
      </c>
      <c r="B986" s="6" t="str">
        <f t="shared" si="30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1"/>
        <v>986</v>
      </c>
      <c r="B987" s="6" t="str">
        <f t="shared" si="30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1"/>
        <v>987</v>
      </c>
      <c r="B988" s="6" t="str">
        <f t="shared" si="30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1"/>
        <v>988</v>
      </c>
      <c r="B989" s="6" t="str">
        <f t="shared" si="30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1"/>
        <v>989</v>
      </c>
      <c r="B990" s="6" t="str">
        <f t="shared" si="30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1"/>
        <v>990</v>
      </c>
      <c r="B991" s="6" t="str">
        <f t="shared" si="30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1"/>
        <v>991</v>
      </c>
      <c r="B992" s="6" t="str">
        <f t="shared" si="30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1"/>
        <v>992</v>
      </c>
      <c r="B993" s="6" t="str">
        <f t="shared" si="30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1"/>
        <v>993</v>
      </c>
      <c r="B994" s="6" t="str">
        <f t="shared" si="30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1"/>
        <v>994</v>
      </c>
      <c r="B995" s="6" t="str">
        <f t="shared" si="30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1"/>
        <v>995</v>
      </c>
      <c r="B996" s="6" t="str">
        <f t="shared" si="30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1"/>
        <v>996</v>
      </c>
      <c r="B997" s="6" t="str">
        <f t="shared" si="30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1"/>
        <v>997</v>
      </c>
      <c r="B998" s="6" t="str">
        <f t="shared" si="30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1"/>
        <v>998</v>
      </c>
      <c r="B999" s="6" t="str">
        <f t="shared" si="30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1"/>
        <v>999</v>
      </c>
      <c r="B1000" s="6" t="str">
        <f t="shared" si="30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1"/>
        <v>1000</v>
      </c>
      <c r="B1001" s="12" t="str">
        <f t="shared" si="30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mergeCells count="1">
    <mergeCell ref="P4:P9"/>
  </mergeCells>
  <hyperlinks>
    <hyperlink ref="H7" location="'🗂️ TOC'!A1" display="Return Back" xr:uid="{D0F66295-3903-41A3-9C85-35D9BD4D149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A36C-B636-4755-9268-7657F1371370}">
  <sheetPr codeName="Sheet6"/>
  <dimension ref="A1:H11"/>
  <sheetViews>
    <sheetView showGridLines="0" workbookViewId="0">
      <selection activeCell="B1" sqref="B1"/>
    </sheetView>
  </sheetViews>
  <sheetFormatPr defaultRowHeight="16" x14ac:dyDescent="0.4"/>
  <cols>
    <col min="1" max="1" width="8.6640625" style="1"/>
    <col min="2" max="2" width="17" style="1" customWidth="1"/>
    <col min="3" max="3" width="23.5" style="1" bestFit="1" customWidth="1"/>
    <col min="4" max="4" width="32.08203125" style="1" bestFit="1" customWidth="1"/>
    <col min="5" max="5" width="25.33203125" style="1" customWidth="1"/>
    <col min="6" max="7" width="8.6640625" style="1"/>
    <col min="8" max="8" width="11" style="1" bestFit="1" customWidth="1"/>
    <col min="9" max="16384" width="8.6640625" style="1"/>
  </cols>
  <sheetData>
    <row r="1" spans="1:8" ht="16.5" thickBot="1" x14ac:dyDescent="0.45">
      <c r="B1" s="100" t="s">
        <v>74</v>
      </c>
      <c r="F1" s="4" t="s">
        <v>46</v>
      </c>
      <c r="G1" s="5"/>
      <c r="H1" s="5"/>
    </row>
    <row r="2" spans="1:8" x14ac:dyDescent="0.4">
      <c r="F2" s="19" t="s">
        <v>47</v>
      </c>
      <c r="G2" s="11"/>
      <c r="H2" s="83">
        <v>35253</v>
      </c>
    </row>
    <row r="3" spans="1:8" ht="16.5" thickBot="1" x14ac:dyDescent="0.45">
      <c r="F3" s="20" t="s">
        <v>48</v>
      </c>
      <c r="G3" s="13"/>
      <c r="H3" s="50">
        <f ca="1">DATEDIF(H2,TODAY(),"Y")</f>
        <v>28</v>
      </c>
    </row>
    <row r="4" spans="1:8" ht="16.5" thickBot="1" x14ac:dyDescent="0.45">
      <c r="A4" s="25" t="s">
        <v>5</v>
      </c>
      <c r="B4" s="25" t="s">
        <v>60</v>
      </c>
      <c r="C4" s="25" t="s">
        <v>61</v>
      </c>
      <c r="D4" s="89" t="s">
        <v>62</v>
      </c>
    </row>
    <row r="5" spans="1:8" ht="16.5" thickBot="1" x14ac:dyDescent="0.45">
      <c r="A5" s="6">
        <v>1</v>
      </c>
      <c r="B5" s="6" t="s">
        <v>49</v>
      </c>
      <c r="C5" s="87" t="s">
        <v>56</v>
      </c>
      <c r="D5" s="85" t="s">
        <v>50</v>
      </c>
      <c r="F5" s="4" t="s">
        <v>53</v>
      </c>
      <c r="G5" s="5"/>
      <c r="H5" s="5"/>
    </row>
    <row r="6" spans="1:8" x14ac:dyDescent="0.4">
      <c r="A6" s="6">
        <v>2</v>
      </c>
      <c r="B6" s="6" t="s">
        <v>51</v>
      </c>
      <c r="C6" s="87" t="s">
        <v>57</v>
      </c>
      <c r="D6" s="85" t="s">
        <v>52</v>
      </c>
      <c r="F6" s="19" t="s">
        <v>54</v>
      </c>
      <c r="G6" s="11"/>
      <c r="H6" s="83">
        <v>35253</v>
      </c>
    </row>
    <row r="7" spans="1:8" ht="16.5" thickBot="1" x14ac:dyDescent="0.45">
      <c r="A7" s="12">
        <v>3</v>
      </c>
      <c r="B7" s="12" t="s">
        <v>58</v>
      </c>
      <c r="C7" s="88" t="s">
        <v>63</v>
      </c>
      <c r="D7" s="86" t="s">
        <v>59</v>
      </c>
      <c r="F7" s="20" t="s">
        <v>55</v>
      </c>
      <c r="G7" s="13"/>
      <c r="H7" s="84">
        <f>EOMONTH(H6,0)</f>
        <v>35277</v>
      </c>
    </row>
    <row r="8" spans="1:8" ht="16.5" thickBot="1" x14ac:dyDescent="0.45"/>
    <row r="9" spans="1:8" ht="16.5" thickBot="1" x14ac:dyDescent="0.45">
      <c r="F9" s="4" t="s">
        <v>64</v>
      </c>
      <c r="G9" s="5"/>
      <c r="H9" s="5"/>
    </row>
    <row r="10" spans="1:8" x14ac:dyDescent="0.4">
      <c r="F10" s="19" t="s">
        <v>54</v>
      </c>
      <c r="G10" s="11"/>
      <c r="H10" s="83">
        <v>35253</v>
      </c>
    </row>
    <row r="11" spans="1:8" ht="16.5" thickBot="1" x14ac:dyDescent="0.45">
      <c r="F11" s="20" t="s">
        <v>65</v>
      </c>
      <c r="G11" s="13"/>
      <c r="H11" s="84">
        <f>EDATE(H10,1)</f>
        <v>35284</v>
      </c>
    </row>
  </sheetData>
  <hyperlinks>
    <hyperlink ref="B1" location="'🗂️ TOC'!A1" display="Return Back" xr:uid="{D7733E16-667E-4528-AD50-C4E9670140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EE15-F4FB-42CB-9871-14D57FF1EF57}">
  <sheetPr codeName="Sheet7"/>
  <dimension ref="A1:AC19"/>
  <sheetViews>
    <sheetView showGridLines="0" workbookViewId="0"/>
  </sheetViews>
  <sheetFormatPr defaultRowHeight="16" outlineLevelCol="1" x14ac:dyDescent="0.4"/>
  <cols>
    <col min="1" max="1" width="15.9140625" style="1" customWidth="1"/>
    <col min="2" max="2" width="10.9140625" style="1" bestFit="1" customWidth="1"/>
    <col min="3" max="3" width="16.58203125" style="1" bestFit="1" customWidth="1"/>
    <col min="4" max="4" width="11.75" style="1" bestFit="1" customWidth="1"/>
    <col min="5" max="5" width="10.9140625" style="1" bestFit="1" customWidth="1"/>
    <col min="6" max="7" width="8.6640625" style="1"/>
    <col min="8" max="8" width="12.5" style="1" customWidth="1"/>
    <col min="9" max="9" width="10.08203125" style="1" customWidth="1"/>
    <col min="10" max="10" width="8.6640625" style="1" collapsed="1"/>
    <col min="11" max="11" width="8.6640625" style="1"/>
    <col min="12" max="12" width="11.83203125" style="1" hidden="1" customWidth="1" outlineLevel="1"/>
    <col min="13" max="13" width="9.9140625" style="1" hidden="1" customWidth="1" outlineLevel="1"/>
    <col min="14" max="18" width="0" style="1" hidden="1" customWidth="1" outlineLevel="1"/>
    <col min="19" max="19" width="9.1640625" style="1" hidden="1" customWidth="1" outlineLevel="1"/>
    <col min="20" max="20" width="11.1640625" style="1" hidden="1" customWidth="1" outlineLevel="1"/>
    <col min="21" max="21" width="19.9140625" style="1" hidden="1" customWidth="1" outlineLevel="1"/>
    <col min="22" max="22" width="11.25" style="1" hidden="1" customWidth="1" outlineLevel="1"/>
    <col min="23" max="23" width="10.5" style="1" hidden="1" customWidth="1" outlineLevel="1"/>
    <col min="24" max="26" width="0" style="1" hidden="1" customWidth="1" outlineLevel="1"/>
    <col min="27" max="27" width="9.83203125" style="1" hidden="1" customWidth="1" outlineLevel="1"/>
    <col min="28" max="28" width="0" style="1" hidden="1" customWidth="1" outlineLevel="1"/>
    <col min="29" max="29" width="8.6640625" style="1" collapsed="1"/>
    <col min="30" max="16384" width="8.6640625" style="1"/>
  </cols>
  <sheetData>
    <row r="1" spans="1:28" ht="16.5" thickBot="1" x14ac:dyDescent="0.45">
      <c r="A1" s="6" t="s">
        <v>28</v>
      </c>
      <c r="B1" s="79">
        <v>2300</v>
      </c>
      <c r="H1" s="100" t="s">
        <v>74</v>
      </c>
      <c r="L1" s="6" t="s">
        <v>28</v>
      </c>
      <c r="M1" s="79">
        <v>2300</v>
      </c>
    </row>
    <row r="2" spans="1:28" x14ac:dyDescent="0.4">
      <c r="A2" s="6" t="s">
        <v>27</v>
      </c>
      <c r="B2" s="80">
        <v>0.09</v>
      </c>
      <c r="L2" s="6" t="s">
        <v>27</v>
      </c>
      <c r="M2" s="80">
        <v>0.09</v>
      </c>
    </row>
    <row r="3" spans="1:28" x14ac:dyDescent="0.4">
      <c r="A3" s="6" t="s">
        <v>25</v>
      </c>
      <c r="B3" s="32">
        <v>10</v>
      </c>
      <c r="L3" s="6" t="s">
        <v>25</v>
      </c>
      <c r="M3" s="32">
        <v>8</v>
      </c>
    </row>
    <row r="4" spans="1:28" x14ac:dyDescent="0.4">
      <c r="A4" s="6" t="s">
        <v>37</v>
      </c>
      <c r="B4" s="58">
        <v>100</v>
      </c>
      <c r="L4" s="6" t="s">
        <v>37</v>
      </c>
      <c r="M4" s="58">
        <v>100</v>
      </c>
    </row>
    <row r="5" spans="1:28" ht="16.5" thickBot="1" x14ac:dyDescent="0.45">
      <c r="A5" s="12" t="s">
        <v>38</v>
      </c>
      <c r="B5" s="59">
        <v>149.76864564705812</v>
      </c>
      <c r="L5" s="12" t="s">
        <v>38</v>
      </c>
      <c r="M5" s="59">
        <v>120</v>
      </c>
    </row>
    <row r="6" spans="1:28" x14ac:dyDescent="0.4">
      <c r="R6" s="69"/>
      <c r="S6" s="70" t="s">
        <v>44</v>
      </c>
      <c r="T6" s="70"/>
      <c r="U6" s="70"/>
      <c r="V6" s="70"/>
      <c r="W6" s="71"/>
    </row>
    <row r="7" spans="1:28" ht="16.5" thickBot="1" x14ac:dyDescent="0.45">
      <c r="B7" s="63" t="s">
        <v>44</v>
      </c>
      <c r="C7" s="63"/>
      <c r="D7" s="63"/>
      <c r="E7" s="63"/>
      <c r="R7" s="64"/>
      <c r="T7" s="60" t="s">
        <v>35</v>
      </c>
      <c r="U7" s="60"/>
      <c r="V7" s="60" t="s">
        <v>36</v>
      </c>
      <c r="W7" s="65" t="s">
        <v>36</v>
      </c>
      <c r="AA7" s="1" t="s">
        <v>25</v>
      </c>
      <c r="AB7" s="1">
        <f>M3</f>
        <v>8</v>
      </c>
    </row>
    <row r="8" spans="1:28" ht="16.5" thickBot="1" x14ac:dyDescent="0.45">
      <c r="A8" s="60"/>
      <c r="B8" s="60" t="s">
        <v>35</v>
      </c>
      <c r="C8" s="60"/>
      <c r="D8" s="60" t="s">
        <v>36</v>
      </c>
      <c r="E8" s="60" t="s">
        <v>36</v>
      </c>
      <c r="N8" s="62"/>
      <c r="R8" s="72" t="s">
        <v>40</v>
      </c>
      <c r="S8" s="46" t="s">
        <v>45</v>
      </c>
      <c r="T8" s="75" t="s">
        <v>41</v>
      </c>
      <c r="U8" s="75" t="s">
        <v>42</v>
      </c>
      <c r="V8" s="73" t="s">
        <v>43</v>
      </c>
      <c r="W8" s="74" t="s">
        <v>41</v>
      </c>
      <c r="X8" s="81"/>
      <c r="AA8" s="1" t="s">
        <v>39</v>
      </c>
      <c r="AB8" s="1">
        <f>VLOOKUP(AB7,$R$8:$W$18,6,FALSE)</f>
        <v>-557.91836584524663</v>
      </c>
    </row>
    <row r="9" spans="1:28" ht="16.5" thickBot="1" x14ac:dyDescent="0.45">
      <c r="A9" s="61" t="s">
        <v>40</v>
      </c>
      <c r="B9" s="61" t="s">
        <v>41</v>
      </c>
      <c r="C9" s="61" t="s">
        <v>42</v>
      </c>
      <c r="D9" s="61" t="s">
        <v>43</v>
      </c>
      <c r="E9" s="61" t="s">
        <v>41</v>
      </c>
      <c r="R9" s="19">
        <v>1</v>
      </c>
      <c r="S9" s="78">
        <f t="shared" ref="S9:S18" si="0">IF(R9&lt;=Term,1,0)</f>
        <v>1</v>
      </c>
      <c r="T9" s="8">
        <f>Principal</f>
        <v>2300</v>
      </c>
      <c r="U9" s="76">
        <f t="shared" ref="U9:U18" si="1">T9*I</f>
        <v>207</v>
      </c>
      <c r="V9" s="57">
        <f t="shared" ref="V9:V18" si="2">(Repayment+(R9-1)*Increment)*S9</f>
        <v>100</v>
      </c>
      <c r="W9" s="66">
        <f>T9+U9-V9</f>
        <v>2407</v>
      </c>
    </row>
    <row r="10" spans="1:28" x14ac:dyDescent="0.4">
      <c r="A10" s="1">
        <v>1</v>
      </c>
      <c r="B10" s="57"/>
      <c r="C10" s="57"/>
      <c r="D10" s="57"/>
      <c r="E10" s="57"/>
      <c r="R10" s="19">
        <f>R9+1</f>
        <v>2</v>
      </c>
      <c r="S10" s="78">
        <f t="shared" si="0"/>
        <v>1</v>
      </c>
      <c r="T10" s="76">
        <f>W9*S10</f>
        <v>2407</v>
      </c>
      <c r="U10" s="76">
        <f t="shared" si="1"/>
        <v>216.63</v>
      </c>
      <c r="V10" s="57">
        <f t="shared" si="2"/>
        <v>220</v>
      </c>
      <c r="W10" s="66">
        <f>T10+U10-V10</f>
        <v>2403.63</v>
      </c>
    </row>
    <row r="11" spans="1:28" x14ac:dyDescent="0.4">
      <c r="A11" s="1">
        <f>A10+1</f>
        <v>2</v>
      </c>
      <c r="B11" s="57"/>
      <c r="C11" s="57"/>
      <c r="D11" s="57"/>
      <c r="E11" s="57"/>
      <c r="R11" s="19">
        <f t="shared" ref="R11:R18" si="3">R10+1</f>
        <v>3</v>
      </c>
      <c r="S11" s="78">
        <f t="shared" si="0"/>
        <v>1</v>
      </c>
      <c r="T11" s="76">
        <f t="shared" ref="T11:T18" si="4">W10*S11</f>
        <v>2403.63</v>
      </c>
      <c r="U11" s="76">
        <f t="shared" si="1"/>
        <v>216.32669999999999</v>
      </c>
      <c r="V11" s="57">
        <f t="shared" si="2"/>
        <v>340</v>
      </c>
      <c r="W11" s="66">
        <f t="shared" ref="W11:W18" si="5">T11+U11-V11</f>
        <v>2279.9567000000002</v>
      </c>
    </row>
    <row r="12" spans="1:28" x14ac:dyDescent="0.4">
      <c r="A12" s="1">
        <f t="shared" ref="A12:A19" si="6">A11+1</f>
        <v>3</v>
      </c>
      <c r="B12" s="57"/>
      <c r="C12" s="57"/>
      <c r="D12" s="57"/>
      <c r="E12" s="57"/>
      <c r="R12" s="19">
        <f t="shared" si="3"/>
        <v>4</v>
      </c>
      <c r="S12" s="78">
        <f t="shared" si="0"/>
        <v>1</v>
      </c>
      <c r="T12" s="76">
        <f t="shared" si="4"/>
        <v>2279.9567000000002</v>
      </c>
      <c r="U12" s="76">
        <f t="shared" si="1"/>
        <v>205.19610300000002</v>
      </c>
      <c r="V12" s="57">
        <f t="shared" si="2"/>
        <v>460</v>
      </c>
      <c r="W12" s="66">
        <f t="shared" si="5"/>
        <v>2025.1528030000004</v>
      </c>
    </row>
    <row r="13" spans="1:28" x14ac:dyDescent="0.4">
      <c r="A13" s="1">
        <f t="shared" si="6"/>
        <v>4</v>
      </c>
      <c r="B13" s="57"/>
      <c r="C13" s="57"/>
      <c r="D13" s="57"/>
      <c r="E13" s="57"/>
      <c r="R13" s="19">
        <f t="shared" si="3"/>
        <v>5</v>
      </c>
      <c r="S13" s="78">
        <f t="shared" si="0"/>
        <v>1</v>
      </c>
      <c r="T13" s="76">
        <f t="shared" si="4"/>
        <v>2025.1528030000004</v>
      </c>
      <c r="U13" s="76">
        <f t="shared" si="1"/>
        <v>182.26375227000003</v>
      </c>
      <c r="V13" s="57">
        <f t="shared" si="2"/>
        <v>580</v>
      </c>
      <c r="W13" s="66">
        <f t="shared" si="5"/>
        <v>1627.4165552700006</v>
      </c>
    </row>
    <row r="14" spans="1:28" x14ac:dyDescent="0.4">
      <c r="A14" s="1">
        <f t="shared" si="6"/>
        <v>5</v>
      </c>
      <c r="B14" s="57"/>
      <c r="C14" s="57"/>
      <c r="D14" s="57"/>
      <c r="E14" s="57"/>
      <c r="R14" s="19">
        <f t="shared" si="3"/>
        <v>6</v>
      </c>
      <c r="S14" s="78">
        <f t="shared" si="0"/>
        <v>1</v>
      </c>
      <c r="T14" s="76">
        <f t="shared" si="4"/>
        <v>1627.4165552700006</v>
      </c>
      <c r="U14" s="76">
        <f t="shared" si="1"/>
        <v>146.46748997430004</v>
      </c>
      <c r="V14" s="57">
        <f t="shared" si="2"/>
        <v>700</v>
      </c>
      <c r="W14" s="66">
        <f t="shared" si="5"/>
        <v>1073.8840452443005</v>
      </c>
    </row>
    <row r="15" spans="1:28" x14ac:dyDescent="0.4">
      <c r="A15" s="1">
        <f t="shared" si="6"/>
        <v>6</v>
      </c>
      <c r="B15" s="57"/>
      <c r="C15" s="57"/>
      <c r="D15" s="57"/>
      <c r="E15" s="57"/>
      <c r="R15" s="19">
        <f t="shared" si="3"/>
        <v>7</v>
      </c>
      <c r="S15" s="78">
        <f t="shared" si="0"/>
        <v>1</v>
      </c>
      <c r="T15" s="76">
        <f t="shared" si="4"/>
        <v>1073.8840452443005</v>
      </c>
      <c r="U15" s="76">
        <f t="shared" si="1"/>
        <v>96.649564071987044</v>
      </c>
      <c r="V15" s="57">
        <f t="shared" si="2"/>
        <v>820</v>
      </c>
      <c r="W15" s="66">
        <f t="shared" si="5"/>
        <v>350.53360931628754</v>
      </c>
    </row>
    <row r="16" spans="1:28" x14ac:dyDescent="0.4">
      <c r="A16" s="1">
        <f t="shared" si="6"/>
        <v>7</v>
      </c>
      <c r="B16" s="57"/>
      <c r="C16" s="57"/>
      <c r="D16" s="57"/>
      <c r="E16" s="57"/>
      <c r="R16" s="19">
        <f t="shared" si="3"/>
        <v>8</v>
      </c>
      <c r="S16" s="78">
        <f t="shared" si="0"/>
        <v>1</v>
      </c>
      <c r="T16" s="76">
        <f t="shared" si="4"/>
        <v>350.53360931628754</v>
      </c>
      <c r="U16" s="76">
        <f t="shared" si="1"/>
        <v>31.548024838465878</v>
      </c>
      <c r="V16" s="57">
        <f t="shared" si="2"/>
        <v>940</v>
      </c>
      <c r="W16" s="66">
        <f t="shared" si="5"/>
        <v>-557.91836584524663</v>
      </c>
    </row>
    <row r="17" spans="1:23" x14ac:dyDescent="0.4">
      <c r="A17" s="1">
        <f t="shared" si="6"/>
        <v>8</v>
      </c>
      <c r="B17" s="57"/>
      <c r="C17" s="57"/>
      <c r="D17" s="57"/>
      <c r="E17" s="57"/>
      <c r="R17" s="19">
        <f t="shared" si="3"/>
        <v>9</v>
      </c>
      <c r="S17" s="78">
        <f t="shared" si="0"/>
        <v>0</v>
      </c>
      <c r="T17" s="76">
        <f t="shared" si="4"/>
        <v>0</v>
      </c>
      <c r="U17" s="76">
        <f t="shared" si="1"/>
        <v>0</v>
      </c>
      <c r="V17" s="57">
        <f t="shared" si="2"/>
        <v>0</v>
      </c>
      <c r="W17" s="66">
        <f t="shared" si="5"/>
        <v>0</v>
      </c>
    </row>
    <row r="18" spans="1:23" ht="16.5" thickBot="1" x14ac:dyDescent="0.45">
      <c r="A18" s="1">
        <f t="shared" si="6"/>
        <v>9</v>
      </c>
      <c r="B18" s="57"/>
      <c r="C18" s="57"/>
      <c r="D18" s="57"/>
      <c r="E18" s="57"/>
      <c r="R18" s="20">
        <f t="shared" si="3"/>
        <v>10</v>
      </c>
      <c r="S18" s="82">
        <f t="shared" si="0"/>
        <v>0</v>
      </c>
      <c r="T18" s="77">
        <f t="shared" si="4"/>
        <v>0</v>
      </c>
      <c r="U18" s="77">
        <f t="shared" si="1"/>
        <v>0</v>
      </c>
      <c r="V18" s="67">
        <f t="shared" si="2"/>
        <v>0</v>
      </c>
      <c r="W18" s="68">
        <f t="shared" si="5"/>
        <v>0</v>
      </c>
    </row>
    <row r="19" spans="1:23" x14ac:dyDescent="0.4">
      <c r="A19" s="1">
        <f t="shared" si="6"/>
        <v>10</v>
      </c>
      <c r="B19" s="57"/>
      <c r="C19" s="57"/>
      <c r="D19" s="57"/>
      <c r="E19" s="57"/>
    </row>
  </sheetData>
  <dataValidations count="1">
    <dataValidation type="whole" allowBlank="1" showInputMessage="1" showErrorMessage="1" error="Term must be between 5 and 10" promptTitle="Loan Term" prompt="Please Input the loan Term" sqref="B3 M3" xr:uid="{A62CE9D5-EF3E-40CC-9B03-B63682D76D49}">
      <formula1>5</formula1>
      <formula2>10</formula2>
    </dataValidation>
  </dataValidations>
  <hyperlinks>
    <hyperlink ref="H1" location="'🗂️ TOC'!A1" display="Return Back" xr:uid="{13F06DDF-A4AA-4F38-8DCA-A93BA30817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🧾 About This Workbook</vt:lpstr>
      <vt:lpstr>I</vt:lpstr>
      <vt:lpstr>Increment</vt:lpstr>
      <vt:lpstr>Principal</vt:lpstr>
      <vt:lpstr>Repayment</vt:lpstr>
      <vt:lpstr>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2025-04-09T03:29:40Z</dcterms:created>
  <dcterms:modified xsi:type="dcterms:W3CDTF">2025-04-15T03:15:05Z</dcterms:modified>
</cp:coreProperties>
</file>